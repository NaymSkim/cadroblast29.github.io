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22.10.26" sheetId="1" state="visible" r:id="rId3"/>
    <sheet name="состоят на учете на 01.10.26" sheetId="2" state="visible" r:id="rId4"/>
    <sheet name="состоят на учете на 10.09.26" sheetId="3" state="visible" r:id="rId5"/>
    <sheet name="состоят на учете на 04.09.26" sheetId="4" state="visible" r:id="rId6"/>
    <sheet name="состоят на учете на 25.08.26" sheetId="5" state="visible" r:id="rId7"/>
    <sheet name="состоят на учете на 13.08.26" sheetId="6" state="visible" r:id="rId8"/>
    <sheet name="состоят на учете на 15.07.26" sheetId="7" state="visible" r:id="rId9"/>
    <sheet name="состоят на учете на 23.06.26" sheetId="8" state="visible" r:id="rId10"/>
    <sheet name="состоят на учете на 10.06.26" sheetId="9" state="visible" r:id="rId11"/>
    <sheet name="состоят на учете на 28.05.26" sheetId="10" state="visible" r:id="rId12"/>
    <sheet name="состоят на учете на 21.05.26" sheetId="11" state="visible" r:id="rId13"/>
    <sheet name="состоят на учете на 14.05.26" sheetId="12" state="visible" r:id="rId14"/>
    <sheet name="состоят на учете на 07.05.26" sheetId="13" state="visible" r:id="rId15"/>
    <sheet name="состоят на учете на 30.4.26" sheetId="14" state="visible" r:id="rId16"/>
    <sheet name="состоят на учете на 23.04.26" sheetId="15" state="visible" r:id="rId17"/>
    <sheet name="состоят на учете на 14.04.26" sheetId="16" state="visible" r:id="rId18"/>
  </sheets>
  <definedNames>
    <definedName function="false" hidden="false" localSheetId="1" name="_xlnm.Print_Area" vbProcedure="false">'состоят на учете на 01.10.26'!$A$1:$AA$27</definedName>
    <definedName function="false" hidden="false" localSheetId="3" name="_xlnm.Print_Area" vbProcedure="false">'состоят на учете на 04.09.26'!$A$1:$AA$27</definedName>
    <definedName function="false" hidden="false" localSheetId="12" name="_xlnm.Print_Area" vbProcedure="false">'состоят на учете на 07.05.26'!$A$1:$AA$27</definedName>
    <definedName function="false" hidden="false" localSheetId="8" name="_xlnm.Print_Area" vbProcedure="false">'состоят на учете на 10.06.26'!$A$1:$AA$27</definedName>
    <definedName function="false" hidden="false" localSheetId="2" name="_xlnm.Print_Area" vbProcedure="false">'состоят на учете на 10.09.26'!$A$1:$AA$27</definedName>
    <definedName function="false" hidden="false" localSheetId="5" name="_xlnm.Print_Area" vbProcedure="false">'состоят на учете на 13.08.26'!$A$1:$AA$27</definedName>
    <definedName function="false" hidden="false" localSheetId="15" name="_xlnm.Print_Area" vbProcedure="false">'состоят на учете на 14.04.26'!$A$1:$AA$27</definedName>
    <definedName function="false" hidden="false" localSheetId="11" name="_xlnm.Print_Area" vbProcedure="false">'состоят на учете на 14.05.26'!$A$1:$AA$27</definedName>
    <definedName function="false" hidden="false" localSheetId="6" name="_xlnm.Print_Area" vbProcedure="false">'состоят на учете на 15.07.26'!$A$1:$AA$27</definedName>
    <definedName function="false" hidden="false" localSheetId="10" name="_xlnm.Print_Area" vbProcedure="false">'состоят на учете на 21.05.26'!$A$1:$AA$27</definedName>
    <definedName function="false" hidden="false" localSheetId="0" name="_xlnm.Print_Area" vbProcedure="false">'состоят на учете на 22.10.26'!$A$1:$AA$27</definedName>
    <definedName function="false" hidden="false" localSheetId="14" name="_xlnm.Print_Area" vbProcedure="false">'состоят на учете на 23.04.26'!$A$1:$AA$27</definedName>
    <definedName function="false" hidden="false" localSheetId="7" name="_xlnm.Print_Area" vbProcedure="false">'состоят на учете на 23.06.26'!$A$1:$AA$27</definedName>
    <definedName function="false" hidden="false" localSheetId="4" name="_xlnm.Print_Area" vbProcedure="false">'состоят на учете на 25.08.26'!$A$1:$AA$27</definedName>
    <definedName function="false" hidden="false" localSheetId="9" name="_xlnm.Print_Area" vbProcedure="false">'состоят на учете на 28.05.26'!$A$1:$AA$27</definedName>
    <definedName function="false" hidden="false" localSheetId="13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<sst xmlns="http://schemas.openxmlformats.org/spreadsheetml/2006/main" count="955" uniqueCount="76">
  <si>
    <t xml:space="preserve"> На 22.10.2026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</si>
  <si>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</si>
  <si>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</si>
  <si>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</si>
  <si>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</si>
  <si>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</si>
  <si>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</si>
  <si>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</si>
  <si>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</si>
  <si>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</si>
  <si>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</si>
  <si>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</si>
  <si>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</si>
  <si>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</si>
  <si>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</si>
  <si>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неделю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</si>
  <si>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</si>
  <si>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</si>
  <si>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</si>
  <si>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</si>
  <si>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</si>
  <si>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</si>
  <si>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</si>
  <si>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</si>
  <si>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</si>
  <si>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</si>
  <si>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</si>
  <si>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</si>
  <si>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</si>
  <si>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</si>
  <si>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</si>
  <si>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</si>
  <si>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</si>
  <si>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</si>
  <si>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</si>
  <si>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</si>
  <si>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</si>
  <si>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</si>
  <si>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</si>
  <si>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</si>
  <si>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</si>
  <si>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</si>
  <si>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</si>
  <si>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</si>
  <si>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</si>
  <si>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</si>
  <si>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</si>
  <si>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</si>
  <si>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</si>
  <si>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</si>
  <si>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</si>
  <si>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</si>
  <si>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01.10.2026</t>
  </si>
  <si>
    <t xml:space="preserve">За 3 недели</t>
  </si>
  <si>
    <t xml:space="preserve"> На 10.09.2026</t>
  </si>
  <si>
    <t xml:space="preserve">За 2 недели</t>
  </si>
  <si>
    <t xml:space="preserve"> На 04.09.2026</t>
  </si>
  <si>
    <t xml:space="preserve">За неделю</t>
  </si>
  <si>
    <t xml:space="preserve"> На 25.08.2026</t>
  </si>
  <si>
    <t xml:space="preserve"> На 13.08.2026</t>
  </si>
  <si>
    <t xml:space="preserve">За 4 недели</t>
  </si>
  <si>
    <t xml:space="preserve"> На 15.07.2026</t>
  </si>
  <si>
    <t xml:space="preserve">предыдущая неделя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</si>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</sst>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A8072"/>
        <bgColor rgb="FFFF99CC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A807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30" activeCellId="0" sqref="F3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215</v>
      </c>
      <c r="D4" s="21" t="n">
        <f aca="false">SUM(D6:D27)</f>
        <v>227</v>
      </c>
      <c r="E4" s="20" t="n">
        <f aca="false">SUM(E6:E27)</f>
        <v>12</v>
      </c>
      <c r="F4" s="20" t="n">
        <f aca="false">SUM(F6:F27)</f>
        <v>225</v>
      </c>
      <c r="G4" s="22" t="n">
        <f aca="false">SUM(G6:G27)</f>
        <v>236</v>
      </c>
      <c r="H4" s="20" t="n">
        <f aca="false">SUM(H6:H27)</f>
        <v>11</v>
      </c>
      <c r="I4" s="20" t="n">
        <f aca="false">SUM(I6:I27)</f>
        <v>75</v>
      </c>
      <c r="J4" s="20" t="n">
        <f aca="false">SUM(J6:J27)</f>
        <v>81</v>
      </c>
      <c r="K4" s="20" t="n">
        <f aca="false">SUM(K6:K27)</f>
        <v>6</v>
      </c>
      <c r="L4" s="20" t="n">
        <f aca="false">SUM(L6:L27)</f>
        <v>150</v>
      </c>
      <c r="M4" s="20" t="n">
        <f aca="false">SUM(M6:M27)</f>
        <v>155</v>
      </c>
      <c r="N4" s="20" t="n">
        <f aca="false">SUM(N6:N27)</f>
        <v>5</v>
      </c>
      <c r="O4" s="23" t="n">
        <f aca="false">SUM(O6:O27)</f>
        <v>14</v>
      </c>
      <c r="P4" s="23" t="n">
        <f aca="false">SUM(P6:P27)</f>
        <v>8</v>
      </c>
      <c r="Q4" s="24" t="n">
        <f aca="false">SUM(Q6:Q27)</f>
        <v>44</v>
      </c>
      <c r="R4" s="20" t="n">
        <f aca="false">SUM(R6:R27)</f>
        <v>19</v>
      </c>
      <c r="S4" s="20" t="n">
        <f aca="false">SUM(S6:S27)</f>
        <v>4</v>
      </c>
      <c r="T4" s="20" t="n">
        <f aca="false">SUM(T6:T27)</f>
        <v>3</v>
      </c>
      <c r="U4" s="20" t="n">
        <f aca="false">SUM(U6:U27)</f>
        <v>7</v>
      </c>
      <c r="V4" s="20" t="n">
        <f aca="false">SUM(V6:V27)</f>
        <v>19</v>
      </c>
      <c r="W4" s="20" t="n">
        <f aca="false">SUM(W6:W27)</f>
        <v>18</v>
      </c>
      <c r="X4" s="20" t="n">
        <f aca="false">SUM(X6:X27)</f>
        <v>5</v>
      </c>
      <c r="Y4" s="20" t="n">
        <f aca="false">SUM(Y6:Y27)</f>
        <v>28</v>
      </c>
      <c r="Z4" s="20" t="n">
        <f aca="false">SUM(Z6:Z27)</f>
        <v>11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31</v>
      </c>
      <c r="D6" s="32" t="n">
        <v>36</v>
      </c>
      <c r="E6" s="27" t="n">
        <f aca="false">D6-C6</f>
        <v>5</v>
      </c>
      <c r="F6" s="27" t="n">
        <v>35</v>
      </c>
      <c r="G6" s="29" t="n">
        <v>36</v>
      </c>
      <c r="H6" s="27" t="n">
        <f aca="false">G6-F6</f>
        <v>1</v>
      </c>
      <c r="I6" s="27" t="n">
        <v>12</v>
      </c>
      <c r="J6" s="27" t="n">
        <v>13</v>
      </c>
      <c r="K6" s="27" t="n">
        <f aca="false">J6-I6</f>
        <v>1</v>
      </c>
      <c r="L6" s="27" t="n">
        <v>23</v>
      </c>
      <c r="M6" s="27" t="n">
        <f aca="false">G6-J6</f>
        <v>23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1</v>
      </c>
      <c r="Y6" s="27" t="n">
        <v>5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10</v>
      </c>
      <c r="D7" s="32" t="n">
        <v>10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4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16</v>
      </c>
      <c r="H8" s="27" t="n">
        <f aca="false">G8-F8</f>
        <v>2</v>
      </c>
      <c r="I8" s="27" t="n">
        <v>2</v>
      </c>
      <c r="J8" s="27" t="n">
        <v>3</v>
      </c>
      <c r="K8" s="27" t="n">
        <f aca="false">J8-I8</f>
        <v>1</v>
      </c>
      <c r="L8" s="27" t="n">
        <v>12</v>
      </c>
      <c r="M8" s="27" t="n">
        <f aca="false">G8-J8</f>
        <v>13</v>
      </c>
      <c r="N8" s="27" t="n">
        <f aca="false">M8-L8</f>
        <v>1</v>
      </c>
      <c r="O8" s="30"/>
      <c r="P8" s="30"/>
      <c r="Q8" s="33" t="n">
        <v>0</v>
      </c>
      <c r="R8" s="27" t="n">
        <v>0</v>
      </c>
      <c r="S8" s="27" t="n">
        <v>0</v>
      </c>
      <c r="T8" s="27" t="n">
        <v>0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2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12</v>
      </c>
      <c r="E9" s="27" t="n">
        <f aca="false">D9-C9</f>
        <v>2</v>
      </c>
      <c r="F9" s="27" t="n">
        <v>10</v>
      </c>
      <c r="G9" s="29" t="n">
        <v>11</v>
      </c>
      <c r="H9" s="27" t="n">
        <f aca="false">G9-F9</f>
        <v>1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10</v>
      </c>
      <c r="N9" s="27" t="n">
        <f aca="false">M9-L9</f>
        <v>1</v>
      </c>
      <c r="O9" s="30"/>
      <c r="P9" s="30"/>
      <c r="Q9" s="33" t="n">
        <v>3</v>
      </c>
      <c r="R9" s="27" t="n">
        <v>3</v>
      </c>
      <c r="S9" s="27" t="n">
        <v>0</v>
      </c>
      <c r="T9" s="27" t="n">
        <v>0</v>
      </c>
      <c r="U9" s="27" t="n">
        <v>0</v>
      </c>
      <c r="V9" s="27" t="n">
        <v>2</v>
      </c>
      <c r="W9" s="27" t="n">
        <v>1</v>
      </c>
      <c r="X9" s="27" t="n">
        <v>0</v>
      </c>
      <c r="Y9" s="27" t="n">
        <v>1</v>
      </c>
      <c r="Z9" s="27" t="n">
        <v>2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2</v>
      </c>
      <c r="G11" s="29" t="n">
        <v>2</v>
      </c>
      <c r="H11" s="27" t="n">
        <f aca="false">G11-F11</f>
        <v>0</v>
      </c>
      <c r="I11" s="27" t="n">
        <v>1</v>
      </c>
      <c r="J11" s="27" t="n">
        <v>1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2</v>
      </c>
      <c r="D12" s="32" t="n">
        <v>2</v>
      </c>
      <c r="E12" s="27" t="n">
        <f aca="false">D12-C12</f>
        <v>0</v>
      </c>
      <c r="F12" s="27" t="n">
        <v>2</v>
      </c>
      <c r="G12" s="29" t="n">
        <v>2</v>
      </c>
      <c r="H12" s="27" t="n">
        <f aca="false">G12-F12</f>
        <v>0</v>
      </c>
      <c r="I12" s="27" t="n">
        <v>2</v>
      </c>
      <c r="J12" s="27" t="n">
        <v>2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5</v>
      </c>
      <c r="G13" s="29" t="n">
        <v>5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4</v>
      </c>
      <c r="M13" s="27" t="n">
        <f aca="false">G13-J13</f>
        <v>4</v>
      </c>
      <c r="N13" s="27" t="n">
        <f aca="false">M13-L13</f>
        <v>0</v>
      </c>
      <c r="O13" s="30"/>
      <c r="P13" s="30"/>
      <c r="Q13" s="33" t="n">
        <v>1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1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4</v>
      </c>
      <c r="D14" s="32" t="n">
        <v>4</v>
      </c>
      <c r="E14" s="27" t="n">
        <f aca="false">D14-C14</f>
        <v>0</v>
      </c>
      <c r="F14" s="27" t="n">
        <v>5</v>
      </c>
      <c r="G14" s="29" t="n">
        <v>5</v>
      </c>
      <c r="H14" s="27" t="n">
        <f aca="false">G14-F14</f>
        <v>0</v>
      </c>
      <c r="I14" s="27" t="n">
        <v>1</v>
      </c>
      <c r="J14" s="27" t="n">
        <v>1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4</v>
      </c>
      <c r="D15" s="32" t="n">
        <v>4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0</v>
      </c>
      <c r="W15" s="27" t="n">
        <v>2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5</v>
      </c>
      <c r="D16" s="32" t="n">
        <v>5</v>
      </c>
      <c r="E16" s="27" t="n">
        <f aca="false">D16-C16</f>
        <v>0</v>
      </c>
      <c r="F16" s="27" t="n">
        <v>6</v>
      </c>
      <c r="G16" s="29" t="n">
        <v>6</v>
      </c>
      <c r="H16" s="27" t="n">
        <f aca="false">G16-F16</f>
        <v>0</v>
      </c>
      <c r="I16" s="27" t="n">
        <v>1</v>
      </c>
      <c r="J16" s="27" t="n">
        <v>1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v>0</v>
      </c>
      <c r="X16" s="27" t="n">
        <v>0</v>
      </c>
      <c r="Y16" s="27" t="n">
        <v>1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4</v>
      </c>
      <c r="D18" s="32" t="n">
        <v>4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2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1</v>
      </c>
      <c r="X18" s="27" t="n">
        <v>0</v>
      </c>
      <c r="Y18" s="27" t="n">
        <v>1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3</v>
      </c>
      <c r="G19" s="29" t="n">
        <v>3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2</v>
      </c>
      <c r="M19" s="27" t="n">
        <f aca="false">G19-J19</f>
        <v>2</v>
      </c>
      <c r="N19" s="27" t="n">
        <f aca="false">M19-L19</f>
        <v>0</v>
      </c>
      <c r="O19" s="30" t="n">
        <v>1</v>
      </c>
      <c r="P19" s="30" t="n">
        <v>1</v>
      </c>
      <c r="Q19" s="33" t="n">
        <v>1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0</v>
      </c>
      <c r="W19" s="27" t="n">
        <v>0</v>
      </c>
      <c r="X19" s="27" t="n">
        <v>0</v>
      </c>
      <c r="Y19" s="27" t="n">
        <v>0</v>
      </c>
      <c r="Z19" s="2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7</v>
      </c>
      <c r="G20" s="29" t="n">
        <v>8</v>
      </c>
      <c r="H20" s="27" t="n">
        <f aca="false">G20-F20</f>
        <v>1</v>
      </c>
      <c r="I20" s="27" t="n">
        <v>4</v>
      </c>
      <c r="J20" s="27" t="n">
        <v>5</v>
      </c>
      <c r="K20" s="27" t="n">
        <f aca="false">J20-I20</f>
        <v>1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1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v>1</v>
      </c>
      <c r="X20" s="27" t="n">
        <v>0</v>
      </c>
      <c r="Y20" s="27" t="n">
        <v>1</v>
      </c>
      <c r="Z20" s="27" t="n">
        <v>0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3</v>
      </c>
      <c r="D21" s="32" t="n">
        <v>4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3</v>
      </c>
      <c r="R21" s="27" t="n">
        <v>1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3</v>
      </c>
      <c r="X21" s="27" t="n">
        <v>0</v>
      </c>
      <c r="Y21" s="27" t="n">
        <v>3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11</v>
      </c>
      <c r="D22" s="32" t="n">
        <v>11</v>
      </c>
      <c r="E22" s="27" t="n">
        <f aca="false">D22-C22</f>
        <v>0</v>
      </c>
      <c r="F22" s="27" t="n">
        <v>12</v>
      </c>
      <c r="G22" s="29" t="n">
        <v>13</v>
      </c>
      <c r="H22" s="27" t="n">
        <f aca="false">G22-F22</f>
        <v>1</v>
      </c>
      <c r="I22" s="7" t="n">
        <v>6</v>
      </c>
      <c r="J22" s="7" t="n">
        <v>7</v>
      </c>
      <c r="K22" s="27" t="n">
        <f aca="false">J22-I22</f>
        <v>1</v>
      </c>
      <c r="L22" s="27" t="n">
        <v>6</v>
      </c>
      <c r="M22" s="27" t="n">
        <f aca="false">G22-J22</f>
        <v>6</v>
      </c>
      <c r="N22" s="27" t="n">
        <f aca="false">M22-L22</f>
        <v>0</v>
      </c>
      <c r="O22" s="30"/>
      <c r="P22" s="30"/>
      <c r="Q22" s="33" t="n">
        <v>1</v>
      </c>
      <c r="R22" s="27" t="n">
        <v>0</v>
      </c>
      <c r="S22" s="27" t="n">
        <v>0</v>
      </c>
      <c r="T22" s="27" t="n">
        <v>0</v>
      </c>
      <c r="U22" s="27" t="n">
        <v>0</v>
      </c>
      <c r="V22" s="7" t="n">
        <v>1</v>
      </c>
      <c r="W22" s="27" t="n">
        <v>0</v>
      </c>
      <c r="X22" s="27" t="n">
        <v>0</v>
      </c>
      <c r="Y22" s="27" t="n">
        <v>1</v>
      </c>
      <c r="Z22" s="27" t="n"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10</v>
      </c>
      <c r="D23" s="32" t="n">
        <v>10</v>
      </c>
      <c r="E23" s="27" t="n">
        <f aca="false">D23-C23</f>
        <v>0</v>
      </c>
      <c r="F23" s="27" t="n">
        <v>9</v>
      </c>
      <c r="G23" s="29" t="n">
        <v>9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6</v>
      </c>
      <c r="M23" s="27" t="n">
        <f aca="false">G23-J23</f>
        <v>6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1</v>
      </c>
      <c r="Y23" s="27" t="n">
        <v>1</v>
      </c>
      <c r="Z23" s="27" t="n"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47</v>
      </c>
      <c r="D25" s="32" t="n">
        <v>48</v>
      </c>
      <c r="E25" s="27" t="n">
        <f aca="false">D25-C25</f>
        <v>1</v>
      </c>
      <c r="F25" s="27" t="n">
        <v>50</v>
      </c>
      <c r="G25" s="29" t="n">
        <v>53</v>
      </c>
      <c r="H25" s="27" t="n">
        <f aca="false">G25-F25</f>
        <v>3</v>
      </c>
      <c r="I25" s="27" t="n">
        <v>11</v>
      </c>
      <c r="J25" s="27" t="n">
        <v>11</v>
      </c>
      <c r="K25" s="27" t="n">
        <f aca="false">J25-I25</f>
        <v>0</v>
      </c>
      <c r="L25" s="27" t="n">
        <v>39</v>
      </c>
      <c r="M25" s="27" t="n">
        <f aca="false">G25-J25</f>
        <v>42</v>
      </c>
      <c r="N25" s="27" t="n">
        <f aca="false">M25-L25</f>
        <v>3</v>
      </c>
      <c r="O25" s="35" t="n">
        <v>5</v>
      </c>
      <c r="P25" s="30" t="n">
        <v>1</v>
      </c>
      <c r="Q25" s="33" t="n">
        <v>4</v>
      </c>
      <c r="R25" s="27" t="n">
        <v>2</v>
      </c>
      <c r="S25" s="27" t="n">
        <v>0</v>
      </c>
      <c r="T25" s="27" t="n">
        <v>0</v>
      </c>
      <c r="U25" s="27" t="n">
        <v>1</v>
      </c>
      <c r="V25" s="27" t="n">
        <v>2</v>
      </c>
      <c r="W25" s="27" t="n">
        <v>1</v>
      </c>
      <c r="X25" s="27" t="n">
        <v>2</v>
      </c>
      <c r="Y25" s="27" t="n">
        <v>2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23</v>
      </c>
      <c r="D26" s="32" t="n">
        <v>24</v>
      </c>
      <c r="E26" s="27" t="n">
        <f aca="false">D26-C26</f>
        <v>1</v>
      </c>
      <c r="F26" s="27" t="n">
        <v>20</v>
      </c>
      <c r="G26" s="29" t="n">
        <v>22</v>
      </c>
      <c r="H26" s="27" t="n">
        <f aca="false">G26-F26</f>
        <v>2</v>
      </c>
      <c r="I26" s="27" t="n">
        <v>10</v>
      </c>
      <c r="J26" s="27" t="n">
        <v>12</v>
      </c>
      <c r="K26" s="27" t="n">
        <f aca="false">J26-I26</f>
        <v>2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v>1</v>
      </c>
      <c r="X26" s="27" t="n">
        <v>1</v>
      </c>
      <c r="Y26" s="27" t="n">
        <v>3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3.8" hidden="false" customHeight="false" outlineLevel="0" collapsed="false">
      <c r="A27" s="37" t="s">
        <v>50</v>
      </c>
      <c r="B27" s="27" t="n">
        <v>3</v>
      </c>
      <c r="C27" s="27" t="n">
        <v>13</v>
      </c>
      <c r="D27" s="32" t="n">
        <v>14</v>
      </c>
      <c r="E27" s="27" t="n">
        <f aca="false">D27-C27</f>
        <v>1</v>
      </c>
      <c r="F27" s="27" t="n">
        <v>14</v>
      </c>
      <c r="G27" s="29" t="n">
        <v>14</v>
      </c>
      <c r="H27" s="27" t="n">
        <f aca="false">G27-F27</f>
        <v>0</v>
      </c>
      <c r="I27" s="27" t="n">
        <v>6</v>
      </c>
      <c r="J27" s="27" t="n">
        <v>6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2</v>
      </c>
      <c r="X27" s="27" t="n">
        <v>0</v>
      </c>
      <c r="Y27" s="27" t="n">
        <v>2</v>
      </c>
      <c r="Z27" s="27" t="n">
        <v>1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M6" activeCellId="0" sqref="M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205</v>
      </c>
      <c r="D4" s="21" t="n">
        <f aca="false">SUM(D6:D27)</f>
        <v>215</v>
      </c>
      <c r="E4" s="20" t="n">
        <f aca="false">SUM(E6:E27)</f>
        <v>10</v>
      </c>
      <c r="F4" s="20" t="n">
        <f aca="false">SUM(F6:F27)</f>
        <v>211</v>
      </c>
      <c r="G4" s="22" t="n">
        <f aca="false">SUM(G6:G27)</f>
        <v>225</v>
      </c>
      <c r="H4" s="20" t="n">
        <f aca="false">SUM(H6:H27)</f>
        <v>14</v>
      </c>
      <c r="I4" s="20" t="n">
        <f aca="false">SUM(I6:I27)</f>
        <v>69</v>
      </c>
      <c r="J4" s="20" t="n">
        <f aca="false">SUM(J6:J27)</f>
        <v>75</v>
      </c>
      <c r="K4" s="20" t="n">
        <f aca="false">SUM(K6:K27)</f>
        <v>6</v>
      </c>
      <c r="L4" s="20" t="n">
        <v>142</v>
      </c>
      <c r="M4" s="20" t="n">
        <f aca="false">SUM(M6:M27)</f>
        <v>150</v>
      </c>
      <c r="N4" s="20" t="n">
        <f aca="false">SUM(N6:N27)</f>
        <v>8</v>
      </c>
      <c r="O4" s="23" t="n">
        <f aca="false">SUM(O6:O27)</f>
        <v>14</v>
      </c>
      <c r="P4" s="23" t="n">
        <f aca="false">SUM(P6:P27)</f>
        <v>8</v>
      </c>
      <c r="Q4" s="24" t="n">
        <f aca="false">SUM(Q6:Q27)</f>
        <v>43</v>
      </c>
      <c r="R4" s="20" t="n">
        <f aca="false">SUM(R6:R27)</f>
        <v>20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7</v>
      </c>
      <c r="V4" s="20" t="n">
        <f aca="false">SUM(V6:V27)</f>
        <v>16</v>
      </c>
      <c r="W4" s="20" t="n">
        <f aca="false">SUM(W6:W27)</f>
        <v>20</v>
      </c>
      <c r="X4" s="20" t="n">
        <f aca="false">SUM(X6:X27)</f>
        <v>4</v>
      </c>
      <c r="Y4" s="20" t="n">
        <f aca="false">SUM(Y6:Y27)</f>
        <v>28</v>
      </c>
      <c r="Z4" s="20" t="n">
        <f aca="false">SUM(Z6:Z27)</f>
        <v>11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30</v>
      </c>
      <c r="D6" s="32" t="n">
        <v>31</v>
      </c>
      <c r="E6" s="27" t="n">
        <f aca="false">D6-C6</f>
        <v>1</v>
      </c>
      <c r="F6" s="27" t="n">
        <v>30</v>
      </c>
      <c r="G6" s="29" t="n">
        <v>35</v>
      </c>
      <c r="H6" s="27" t="n">
        <f aca="false">G6-F6</f>
        <v>5</v>
      </c>
      <c r="I6" s="27" t="n">
        <v>11</v>
      </c>
      <c r="J6" s="27" t="n">
        <v>12</v>
      </c>
      <c r="K6" s="27" t="n">
        <f aca="false">J6-I6</f>
        <v>1</v>
      </c>
      <c r="L6" s="27" t="n">
        <v>19</v>
      </c>
      <c r="M6" s="27" t="n">
        <f aca="false">G6-J6</f>
        <v>23</v>
      </c>
      <c r="N6" s="27" t="n">
        <f aca="false">M6-L6</f>
        <v>4</v>
      </c>
      <c r="O6" s="30"/>
      <c r="P6" s="30"/>
      <c r="Q6" s="33" t="n">
        <v>3</v>
      </c>
      <c r="R6" s="27" t="n">
        <v>0</v>
      </c>
      <c r="S6" s="27" t="n">
        <v>0</v>
      </c>
      <c r="T6" s="27" t="n">
        <v>1</v>
      </c>
      <c r="U6" s="27" t="n">
        <v>1</v>
      </c>
      <c r="V6" s="27" t="n">
        <v>1</v>
      </c>
      <c r="W6" s="27" t="n">
        <f aca="false">Q6-U6-V6</f>
        <v>1</v>
      </c>
      <c r="X6" s="27" t="n">
        <v>0</v>
      </c>
      <c r="Y6" s="27" t="n">
        <v>2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9</v>
      </c>
      <c r="D7" s="32" t="n">
        <v>10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4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2</v>
      </c>
      <c r="G11" s="29" t="n">
        <v>2</v>
      </c>
      <c r="H11" s="27" t="n">
        <f aca="false">G11-F11</f>
        <v>0</v>
      </c>
      <c r="I11" s="27" t="n">
        <v>1</v>
      </c>
      <c r="J11" s="27" t="n">
        <v>1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2</v>
      </c>
      <c r="D12" s="32" t="n">
        <v>2</v>
      </c>
      <c r="E12" s="27" t="n">
        <f aca="false">D12-C12</f>
        <v>0</v>
      </c>
      <c r="F12" s="27" t="n">
        <v>2</v>
      </c>
      <c r="G12" s="29" t="n">
        <v>2</v>
      </c>
      <c r="H12" s="27" t="n">
        <f aca="false">G12-F12</f>
        <v>0</v>
      </c>
      <c r="I12" s="27" t="n">
        <v>2</v>
      </c>
      <c r="J12" s="27" t="n">
        <v>2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6</v>
      </c>
      <c r="D13" s="43" t="n">
        <v>5</v>
      </c>
      <c r="E13" s="27" t="n">
        <f aca="false">D13-C13</f>
        <v>-1</v>
      </c>
      <c r="F13" s="27" t="n">
        <v>4</v>
      </c>
      <c r="G13" s="29" t="n">
        <v>5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4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4</v>
      </c>
      <c r="D14" s="32" t="n">
        <v>4</v>
      </c>
      <c r="E14" s="27" t="n">
        <f aca="false">D14-C14</f>
        <v>0</v>
      </c>
      <c r="F14" s="27" t="n">
        <v>4</v>
      </c>
      <c r="G14" s="29" t="n">
        <v>5</v>
      </c>
      <c r="H14" s="27" t="n">
        <f aca="false">G14-F14</f>
        <v>1</v>
      </c>
      <c r="I14" s="27" t="n">
        <v>0</v>
      </c>
      <c r="J14" s="27" t="n">
        <v>1</v>
      </c>
      <c r="K14" s="27" t="n">
        <f aca="false">J14-I14</f>
        <v>1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4</v>
      </c>
      <c r="E15" s="27" t="n">
        <f aca="false">D15-C15</f>
        <v>1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0</v>
      </c>
      <c r="W15" s="27" t="n">
        <f aca="false">Q15-U15-V15</f>
        <v>2</v>
      </c>
      <c r="X15" s="27" t="n">
        <v>0</v>
      </c>
      <c r="Y15" s="27" t="n">
        <v>1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5</v>
      </c>
      <c r="E16" s="27" t="n">
        <f aca="false">D16-C16</f>
        <v>1</v>
      </c>
      <c r="F16" s="27" t="n">
        <v>5</v>
      </c>
      <c r="G16" s="29" t="n">
        <v>6</v>
      </c>
      <c r="H16" s="27" t="n">
        <f aca="false">G16-F16</f>
        <v>1</v>
      </c>
      <c r="I16" s="27" t="n">
        <v>0</v>
      </c>
      <c r="J16" s="27" t="n">
        <v>1</v>
      </c>
      <c r="K16" s="27" t="n">
        <f aca="false">J16-I16</f>
        <v>1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4</v>
      </c>
      <c r="D18" s="32" t="n">
        <v>4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2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3</v>
      </c>
      <c r="H19" s="27" t="n">
        <f aca="false">G19-F19</f>
        <v>1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2</v>
      </c>
      <c r="N19" s="27" t="n">
        <f aca="false">M19-L19</f>
        <v>1</v>
      </c>
      <c r="O19" s="30" t="n">
        <v>1</v>
      </c>
      <c r="P19" s="30" t="n">
        <v>1</v>
      </c>
      <c r="Q19" s="33" t="n">
        <v>1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0</v>
      </c>
      <c r="W19" s="27" t="n">
        <f aca="false">Q19-U19-V19</f>
        <v>0</v>
      </c>
      <c r="X19" s="27" t="n">
        <v>0</v>
      </c>
      <c r="Y19" s="27" t="n">
        <v>0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7</v>
      </c>
      <c r="H20" s="27" t="n">
        <f aca="false">G20-F20</f>
        <v>1</v>
      </c>
      <c r="I20" s="27" t="n">
        <v>3</v>
      </c>
      <c r="J20" s="27" t="n">
        <v>4</v>
      </c>
      <c r="K20" s="27" t="n">
        <f aca="false">J20-I20</f>
        <v>1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f aca="false">Q20-X20-Y20</f>
        <v>0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2</v>
      </c>
      <c r="D21" s="32" t="n">
        <v>3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2</v>
      </c>
      <c r="R21" s="27" t="n">
        <v>1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2</v>
      </c>
      <c r="X21" s="27" t="n">
        <v>0</v>
      </c>
      <c r="Y21" s="27" t="n">
        <v>2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10</v>
      </c>
      <c r="D22" s="32" t="n">
        <v>11</v>
      </c>
      <c r="E22" s="27" t="n">
        <f aca="false">D22-C22</f>
        <v>1</v>
      </c>
      <c r="F22" s="27" t="n">
        <v>11</v>
      </c>
      <c r="G22" s="29" t="n">
        <v>12</v>
      </c>
      <c r="H22" s="27" t="n">
        <f aca="false">G22-F22</f>
        <v>1</v>
      </c>
      <c r="I22" s="7" t="n">
        <v>6</v>
      </c>
      <c r="J22" s="7" t="n">
        <v>6</v>
      </c>
      <c r="K22" s="27" t="n">
        <f aca="false">J22-I22</f>
        <v>0</v>
      </c>
      <c r="L22" s="27" t="n">
        <v>5</v>
      </c>
      <c r="M22" s="27" t="n">
        <f aca="false">G22-J22</f>
        <v>6</v>
      </c>
      <c r="N22" s="27" t="n">
        <f aca="false">M22-L22</f>
        <v>1</v>
      </c>
      <c r="O22" s="30"/>
      <c r="P22" s="30"/>
      <c r="Q22" s="33" t="n">
        <v>2</v>
      </c>
      <c r="R22" s="27" t="n">
        <v>1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0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9</v>
      </c>
      <c r="D23" s="32" t="n">
        <v>10</v>
      </c>
      <c r="E23" s="27" t="n">
        <f aca="false">D23-C23</f>
        <v>1</v>
      </c>
      <c r="F23" s="27" t="n">
        <v>9</v>
      </c>
      <c r="G23" s="29" t="n">
        <v>9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6</v>
      </c>
      <c r="M23" s="27" t="n">
        <f aca="false">G23-J23</f>
        <v>6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1</v>
      </c>
      <c r="X23" s="27" t="n">
        <v>1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45</v>
      </c>
      <c r="D25" s="32" t="n">
        <v>47</v>
      </c>
      <c r="E25" s="27" t="n">
        <f aca="false">D25-C25</f>
        <v>2</v>
      </c>
      <c r="F25" s="27" t="n">
        <v>49</v>
      </c>
      <c r="G25" s="29" t="n">
        <v>50</v>
      </c>
      <c r="H25" s="27" t="n">
        <f aca="false">G25-F25</f>
        <v>1</v>
      </c>
      <c r="I25" s="27" t="n">
        <v>11</v>
      </c>
      <c r="J25" s="27" t="n">
        <v>11</v>
      </c>
      <c r="K25" s="27" t="n">
        <f aca="false">J25-I25</f>
        <v>0</v>
      </c>
      <c r="L25" s="27" t="n">
        <v>38</v>
      </c>
      <c r="M25" s="27" t="n">
        <f aca="false">G25-J25</f>
        <v>39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2</v>
      </c>
      <c r="W25" s="27" t="n">
        <f aca="false">Q25-U25-V25</f>
        <v>3</v>
      </c>
      <c r="X25" s="27" t="n">
        <v>2</v>
      </c>
      <c r="Y25" s="27" t="n">
        <v>2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22</v>
      </c>
      <c r="D26" s="32" t="n">
        <v>23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6</v>
      </c>
      <c r="R26" s="27" t="n">
        <v>3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2</v>
      </c>
      <c r="X26" s="27" t="n">
        <v>0</v>
      </c>
      <c r="Y26" s="27" t="n">
        <v>5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12</v>
      </c>
      <c r="D27" s="32" t="n">
        <v>13</v>
      </c>
      <c r="E27" s="27" t="n">
        <f aca="false">D27-C27</f>
        <v>1</v>
      </c>
      <c r="F27" s="27" t="n">
        <v>12</v>
      </c>
      <c r="G27" s="29" t="n">
        <v>14</v>
      </c>
      <c r="H27" s="27" t="n">
        <f aca="false">G27-F27</f>
        <v>2</v>
      </c>
      <c r="I27" s="27" t="n">
        <v>4</v>
      </c>
      <c r="J27" s="27" t="n">
        <v>6</v>
      </c>
      <c r="K27" s="27" t="n">
        <f aca="false">J27-I27</f>
        <v>2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1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28" activeCellId="0" sqref="S2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55</v>
      </c>
      <c r="F3" s="8" t="s">
        <v>14</v>
      </c>
      <c r="G3" s="10" t="s">
        <v>7</v>
      </c>
      <c r="H3" s="8" t="s">
        <v>55</v>
      </c>
      <c r="I3" s="8" t="s">
        <v>14</v>
      </c>
      <c r="J3" s="8" t="s">
        <v>16</v>
      </c>
      <c r="K3" s="8" t="s">
        <v>55</v>
      </c>
      <c r="L3" s="8" t="s">
        <v>14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205</v>
      </c>
      <c r="E4" s="20" t="n">
        <f aca="false">SUM(E6:E27)</f>
        <v>13</v>
      </c>
      <c r="F4" s="20" t="n">
        <f aca="false">SUM(F6:F27)</f>
        <v>203</v>
      </c>
      <c r="G4" s="22" t="n">
        <f aca="false">SUM(G6:G27)</f>
        <v>211</v>
      </c>
      <c r="H4" s="20" t="n">
        <f aca="false">SUM(H6:H27)</f>
        <v>8</v>
      </c>
      <c r="I4" s="20" t="n">
        <f aca="false">SUM(I6:I27)</f>
        <v>64</v>
      </c>
      <c r="J4" s="20" t="n">
        <f aca="false">SUM(J6:J27)</f>
        <v>69</v>
      </c>
      <c r="K4" s="20" t="n">
        <f aca="false">SUM(K6:K27)</f>
        <v>5</v>
      </c>
      <c r="L4" s="20" t="n">
        <v>139</v>
      </c>
      <c r="M4" s="20" t="n">
        <f aca="false">SUM(M6:M27)</f>
        <v>142</v>
      </c>
      <c r="N4" s="20" t="n">
        <f aca="false">SUM(N6:N27)</f>
        <v>3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47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4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30</v>
      </c>
      <c r="E6" s="27" t="n">
        <f aca="false">D6-C6</f>
        <v>1</v>
      </c>
      <c r="F6" s="27" t="n">
        <v>29</v>
      </c>
      <c r="G6" s="29" t="n">
        <v>30</v>
      </c>
      <c r="H6" s="27" t="n">
        <f aca="false">G6-F6</f>
        <v>1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19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1</v>
      </c>
      <c r="U6" s="27" t="n">
        <v>2</v>
      </c>
      <c r="V6" s="27" t="n">
        <v>2</v>
      </c>
      <c r="W6" s="27" t="n">
        <f aca="false">Q6-U6-V6</f>
        <v>3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2</v>
      </c>
      <c r="H11" s="27" t="n">
        <f aca="false">G11-F11</f>
        <v>1</v>
      </c>
      <c r="I11" s="27" t="n">
        <v>0</v>
      </c>
      <c r="J11" s="27" t="n">
        <v>1</v>
      </c>
      <c r="K11" s="27" t="n">
        <f aca="false">J11-I11</f>
        <v>1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2</v>
      </c>
      <c r="H12" s="27" t="n">
        <f aca="false">G12-F12</f>
        <v>1</v>
      </c>
      <c r="I12" s="27" t="n">
        <v>1</v>
      </c>
      <c r="J12" s="27" t="n">
        <v>2</v>
      </c>
      <c r="K12" s="27" t="n">
        <f aca="false">J12-I12</f>
        <v>1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2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1</v>
      </c>
      <c r="X21" s="27" t="n">
        <v>0</v>
      </c>
      <c r="Y21" s="27" t="n">
        <v>1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9</v>
      </c>
      <c r="H23" s="27" t="n">
        <f aca="false">G23-F23</f>
        <v>1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6</v>
      </c>
      <c r="N23" s="27" t="n">
        <f aca="false">M23-L23</f>
        <v>1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22</v>
      </c>
      <c r="E26" s="27" t="n">
        <f aca="false">D26-C26</f>
        <v>2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1</v>
      </c>
      <c r="X26" s="27" t="n">
        <v>0</v>
      </c>
      <c r="Y26" s="27" t="n">
        <v>4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W9" activeCellId="0" sqref="W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57</v>
      </c>
      <c r="F3" s="8" t="s">
        <v>14</v>
      </c>
      <c r="G3" s="10" t="s">
        <v>7</v>
      </c>
      <c r="H3" s="8" t="s">
        <v>57</v>
      </c>
      <c r="I3" s="8" t="s">
        <v>14</v>
      </c>
      <c r="J3" s="8" t="s">
        <v>16</v>
      </c>
      <c r="K3" s="8" t="s">
        <v>57</v>
      </c>
      <c r="L3" s="8" t="s">
        <v>14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55</v>
      </c>
      <c r="F3" s="8" t="s">
        <v>14</v>
      </c>
      <c r="G3" s="10" t="s">
        <v>7</v>
      </c>
      <c r="H3" s="8" t="s">
        <v>55</v>
      </c>
      <c r="I3" s="8" t="s">
        <v>14</v>
      </c>
      <c r="J3" s="8" t="s">
        <v>16</v>
      </c>
      <c r="K3" s="8" t="s">
        <v>55</v>
      </c>
      <c r="L3" s="8" t="s">
        <v>14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60</v>
      </c>
      <c r="F3" s="8" t="s">
        <v>14</v>
      </c>
      <c r="G3" s="10" t="s">
        <v>7</v>
      </c>
      <c r="H3" s="8" t="s">
        <v>60</v>
      </c>
      <c r="I3" s="8" t="s">
        <v>14</v>
      </c>
      <c r="J3" s="8" t="s">
        <v>16</v>
      </c>
      <c r="K3" s="8" t="s">
        <v>60</v>
      </c>
      <c r="L3" s="8" t="s">
        <v>14</v>
      </c>
      <c r="M3" s="8" t="s">
        <v>17</v>
      </c>
      <c r="N3" s="8" t="s">
        <v>60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53</v>
      </c>
      <c r="F3" s="8" t="s">
        <v>62</v>
      </c>
      <c r="G3" s="10" t="s">
        <v>7</v>
      </c>
      <c r="H3" s="8" t="s">
        <v>53</v>
      </c>
      <c r="I3" s="8" t="s">
        <v>62</v>
      </c>
      <c r="J3" s="8" t="s">
        <v>16</v>
      </c>
      <c r="K3" s="8" t="s">
        <v>53</v>
      </c>
      <c r="L3" s="8" t="s">
        <v>62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55</v>
      </c>
      <c r="F3" s="8" t="s">
        <v>62</v>
      </c>
      <c r="G3" s="10" t="s">
        <v>7</v>
      </c>
      <c r="H3" s="8" t="s">
        <v>55</v>
      </c>
      <c r="I3" s="8" t="s">
        <v>62</v>
      </c>
      <c r="J3" s="8" t="s">
        <v>16</v>
      </c>
      <c r="K3" s="8" t="s">
        <v>55</v>
      </c>
      <c r="L3" s="8" t="s">
        <v>62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55</v>
      </c>
      <c r="F3" s="8" t="s">
        <v>62</v>
      </c>
      <c r="G3" s="10" t="s">
        <v>7</v>
      </c>
      <c r="H3" s="8" t="s">
        <v>55</v>
      </c>
      <c r="I3" s="8" t="s">
        <v>62</v>
      </c>
      <c r="J3" s="8" t="s">
        <v>16</v>
      </c>
      <c r="K3" s="8" t="s">
        <v>55</v>
      </c>
      <c r="L3" s="8" t="s">
        <v>62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66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57</v>
      </c>
      <c r="F3" s="8" t="s">
        <v>62</v>
      </c>
      <c r="G3" s="10" t="s">
        <v>7</v>
      </c>
      <c r="H3" s="8" t="s">
        <v>57</v>
      </c>
      <c r="I3" s="8" t="s">
        <v>62</v>
      </c>
      <c r="J3" s="8" t="s">
        <v>16</v>
      </c>
      <c r="K3" s="8" t="s">
        <v>57</v>
      </c>
      <c r="L3" s="8" t="s">
        <v>62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66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57</v>
      </c>
      <c r="F3" s="8" t="s">
        <v>62</v>
      </c>
      <c r="G3" s="10" t="s">
        <v>7</v>
      </c>
      <c r="H3" s="8" t="s">
        <v>57</v>
      </c>
      <c r="I3" s="8" t="s">
        <v>62</v>
      </c>
      <c r="J3" s="8" t="s">
        <v>16</v>
      </c>
      <c r="K3" s="8" t="s">
        <v>57</v>
      </c>
      <c r="L3" s="8" t="s">
        <v>62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69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57</v>
      </c>
      <c r="F3" s="8" t="s">
        <v>62</v>
      </c>
      <c r="G3" s="10" t="s">
        <v>7</v>
      </c>
      <c r="H3" s="8" t="s">
        <v>57</v>
      </c>
      <c r="I3" s="8" t="s">
        <v>62</v>
      </c>
      <c r="J3" s="8" t="s">
        <v>16</v>
      </c>
      <c r="K3" s="8" t="s">
        <v>57</v>
      </c>
      <c r="L3" s="8" t="s">
        <v>62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55</v>
      </c>
      <c r="F3" s="8" t="s">
        <v>62</v>
      </c>
      <c r="G3" s="10" t="s">
        <v>7</v>
      </c>
      <c r="H3" s="8" t="s">
        <v>15</v>
      </c>
      <c r="I3" s="8" t="s">
        <v>62</v>
      </c>
      <c r="J3" s="8" t="s">
        <v>16</v>
      </c>
      <c r="K3" s="8" t="s">
        <v>72</v>
      </c>
      <c r="L3" s="8" t="s">
        <v>62</v>
      </c>
      <c r="M3" s="8" t="s">
        <v>17</v>
      </c>
      <c r="N3" s="8" t="s">
        <v>72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15</v>
      </c>
      <c r="F3" s="8" t="s">
        <v>62</v>
      </c>
      <c r="G3" s="10" t="s">
        <v>7</v>
      </c>
      <c r="H3" s="8" t="s">
        <v>15</v>
      </c>
      <c r="I3" s="8" t="s">
        <v>62</v>
      </c>
      <c r="J3" s="8" t="s">
        <v>16</v>
      </c>
      <c r="K3" s="8" t="s">
        <v>15</v>
      </c>
      <c r="L3" s="8" t="s">
        <v>62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5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5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44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5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5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5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5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5" t="n">
        <v>12</v>
      </c>
      <c r="E26" s="27" t="n">
        <f aca="false">D26-C26</f>
        <v>0</v>
      </c>
      <c r="F26" s="27" t="n">
        <v>6</v>
      </c>
      <c r="G26" s="44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5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15</v>
      </c>
      <c r="F3" s="8" t="s">
        <v>62</v>
      </c>
      <c r="G3" s="10" t="s">
        <v>7</v>
      </c>
      <c r="H3" s="8" t="s">
        <v>15</v>
      </c>
      <c r="I3" s="8" t="s">
        <v>62</v>
      </c>
      <c r="J3" s="8" t="s">
        <v>16</v>
      </c>
      <c r="K3" s="8" t="s">
        <v>15</v>
      </c>
      <c r="L3" s="8" t="s">
        <v>62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5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5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5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5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5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5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62</v>
      </c>
      <c r="D3" s="9" t="s">
        <v>7</v>
      </c>
      <c r="E3" s="8" t="s">
        <v>15</v>
      </c>
      <c r="F3" s="8" t="s">
        <v>62</v>
      </c>
      <c r="G3" s="10" t="s">
        <v>7</v>
      </c>
      <c r="H3" s="8" t="s">
        <v>15</v>
      </c>
      <c r="I3" s="8" t="s">
        <v>62</v>
      </c>
      <c r="J3" s="8" t="s">
        <v>16</v>
      </c>
      <c r="K3" s="8" t="s">
        <v>15</v>
      </c>
      <c r="L3" s="8" t="s">
        <v>62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6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6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6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6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6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6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6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6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6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6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6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6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6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6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6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6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6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6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6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6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6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6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2026-10-20T16:08:22Z</dcterms:modified>
  <cp:revision>463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