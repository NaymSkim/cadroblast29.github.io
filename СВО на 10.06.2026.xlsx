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ymskim/WebstormProjects/Mom/xlsx/"/>
    </mc:Choice>
  </mc:AlternateContent>
  <xr:revisionPtr revIDLastSave="0" documentId="8_{1C1FD8A6-4AAD-4E47-AB17-5E1CE1737CFC}" xr6:coauthVersionLast="47" xr6:coauthVersionMax="47" xr10:uidLastSave="{00000000-0000-0000-0000-000000000000}"/>
  <bookViews>
    <workbookView xWindow="0" yWindow="780" windowWidth="35140" windowHeight="22600" xr2:uid="{789FC86C-27F8-AB40-B575-CCA72B37AA19}"/>
  </bookViews>
  <sheets>
    <sheet name="состоят на учете на 10.06.26" sheetId="1" r:id="rId1"/>
    <sheet name="состоят на учете на 28.05.26" sheetId="2" r:id="rId2"/>
    <sheet name="состоят на учете на 21.05.26" sheetId="3" r:id="rId3"/>
    <sheet name="состоят на учете на 14.05.26" sheetId="4" r:id="rId4"/>
    <sheet name="состоят на учете на 07.05.26" sheetId="5" r:id="rId5"/>
    <sheet name="состоят на учете на 30.4.26" sheetId="6" r:id="rId6"/>
    <sheet name="состоят на учете на 23.04.26" sheetId="7" r:id="rId7"/>
    <sheet name="состоят на учете на 14.04.26" sheetId="8" r:id="rId8"/>
  </sheets>
  <definedNames>
    <definedName name="_xlnm.Print_Area" localSheetId="4">'состоят на учете на 07.05.26'!$A$1:$AA$27</definedName>
    <definedName name="_xlnm.Print_Area" localSheetId="0">'состоят на учете на 10.06.26'!$A$1:$AA$27</definedName>
    <definedName name="_xlnm.Print_Area" localSheetId="7">'состоят на учете на 14.04.26'!$A$1:$AA$27</definedName>
    <definedName name="_xlnm.Print_Area" localSheetId="3">'состоят на учете на 14.05.26'!$A$1:$AA$27</definedName>
    <definedName name="_xlnm.Print_Area" localSheetId="2">'состоят на учете на 21.05.26'!$A$1:$AA$27</definedName>
    <definedName name="_xlnm.Print_Area" localSheetId="6">'состоят на учете на 23.04.26'!$A$1:$AA$27</definedName>
    <definedName name="_xlnm.Print_Area" localSheetId="1">'состоят на учете на 28.05.26'!$A$1:$AA$27</definedName>
    <definedName name="_xlnm.Print_Area" localSheetId="5">'состоят на учете на 30.4.26'!$A$1:$AA$27</definedName>
  </definedNames>
  <calcPr calcId="191029" fullCalcOnLoad="1" refMode="R1C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8" l="1"/>
  <c r="N27" i="8" s="1"/>
  <c r="L27" i="8"/>
  <c r="K27" i="8"/>
  <c r="H27" i="8"/>
  <c r="E27" i="8"/>
  <c r="M26" i="8"/>
  <c r="N26" i="8" s="1"/>
  <c r="L26" i="8"/>
  <c r="K26" i="8"/>
  <c r="H26" i="8"/>
  <c r="E26" i="8"/>
  <c r="M25" i="8"/>
  <c r="N25" i="8" s="1"/>
  <c r="L25" i="8"/>
  <c r="K25" i="8"/>
  <c r="H25" i="8"/>
  <c r="E25" i="8"/>
  <c r="M24" i="8"/>
  <c r="N24" i="8" s="1"/>
  <c r="L24" i="8"/>
  <c r="K24" i="8"/>
  <c r="H24" i="8"/>
  <c r="E24" i="8"/>
  <c r="M23" i="8"/>
  <c r="N23" i="8" s="1"/>
  <c r="L23" i="8"/>
  <c r="K23" i="8"/>
  <c r="H23" i="8"/>
  <c r="E23" i="8"/>
  <c r="M22" i="8"/>
  <c r="N22" i="8" s="1"/>
  <c r="L22" i="8"/>
  <c r="K22" i="8"/>
  <c r="H22" i="8"/>
  <c r="E22" i="8"/>
  <c r="M21" i="8"/>
  <c r="N21" i="8" s="1"/>
  <c r="L21" i="8"/>
  <c r="K21" i="8"/>
  <c r="H21" i="8"/>
  <c r="E21" i="8"/>
  <c r="M20" i="8"/>
  <c r="N20" i="8" s="1"/>
  <c r="L20" i="8"/>
  <c r="K20" i="8"/>
  <c r="H20" i="8"/>
  <c r="E20" i="8"/>
  <c r="M19" i="8"/>
  <c r="N19" i="8" s="1"/>
  <c r="L19" i="8"/>
  <c r="K19" i="8"/>
  <c r="H19" i="8"/>
  <c r="E19" i="8"/>
  <c r="M18" i="8"/>
  <c r="N18" i="8" s="1"/>
  <c r="L18" i="8"/>
  <c r="K18" i="8"/>
  <c r="H18" i="8"/>
  <c r="E18" i="8"/>
  <c r="M17" i="8"/>
  <c r="N17" i="8" s="1"/>
  <c r="L17" i="8"/>
  <c r="K17" i="8"/>
  <c r="H17" i="8"/>
  <c r="E17" i="8"/>
  <c r="M16" i="8"/>
  <c r="N16" i="8" s="1"/>
  <c r="L16" i="8"/>
  <c r="K16" i="8"/>
  <c r="H16" i="8"/>
  <c r="E16" i="8"/>
  <c r="M15" i="8"/>
  <c r="N15" i="8" s="1"/>
  <c r="L15" i="8"/>
  <c r="K15" i="8"/>
  <c r="H15" i="8"/>
  <c r="E15" i="8"/>
  <c r="M14" i="8"/>
  <c r="N14" i="8" s="1"/>
  <c r="L14" i="8"/>
  <c r="K14" i="8"/>
  <c r="H14" i="8"/>
  <c r="E14" i="8"/>
  <c r="M13" i="8"/>
  <c r="N13" i="8" s="1"/>
  <c r="L13" i="8"/>
  <c r="K13" i="8"/>
  <c r="H13" i="8"/>
  <c r="E13" i="8"/>
  <c r="M12" i="8"/>
  <c r="N12" i="8" s="1"/>
  <c r="L12" i="8"/>
  <c r="K12" i="8"/>
  <c r="H12" i="8"/>
  <c r="E12" i="8"/>
  <c r="M11" i="8"/>
  <c r="N11" i="8" s="1"/>
  <c r="L11" i="8"/>
  <c r="K11" i="8"/>
  <c r="H11" i="8"/>
  <c r="E11" i="8"/>
  <c r="M10" i="8"/>
  <c r="N10" i="8" s="1"/>
  <c r="L10" i="8"/>
  <c r="K10" i="8"/>
  <c r="H10" i="8"/>
  <c r="E10" i="8"/>
  <c r="M9" i="8"/>
  <c r="N9" i="8" s="1"/>
  <c r="L9" i="8"/>
  <c r="K9" i="8"/>
  <c r="H9" i="8"/>
  <c r="E9" i="8"/>
  <c r="N8" i="8"/>
  <c r="M8" i="8"/>
  <c r="L8" i="8"/>
  <c r="K8" i="8"/>
  <c r="H8" i="8"/>
  <c r="E8" i="8"/>
  <c r="M7" i="8"/>
  <c r="N7" i="8" s="1"/>
  <c r="L7" i="8"/>
  <c r="K7" i="8"/>
  <c r="H7" i="8"/>
  <c r="E7" i="8"/>
  <c r="M6" i="8"/>
  <c r="N6" i="8" s="1"/>
  <c r="N4" i="8" s="1"/>
  <c r="L6" i="8"/>
  <c r="K6" i="8"/>
  <c r="H6" i="8"/>
  <c r="E6" i="8"/>
  <c r="Z4" i="8"/>
  <c r="Y4" i="8"/>
  <c r="X4" i="8"/>
  <c r="W4" i="8"/>
  <c r="V4" i="8"/>
  <c r="U4" i="8"/>
  <c r="T4" i="8"/>
  <c r="S4" i="8"/>
  <c r="R4" i="8"/>
  <c r="Q4" i="8"/>
  <c r="P4" i="8"/>
  <c r="O4" i="8"/>
  <c r="M4" i="8"/>
  <c r="L4" i="8"/>
  <c r="K4" i="8"/>
  <c r="J4" i="8"/>
  <c r="I4" i="8"/>
  <c r="H4" i="8"/>
  <c r="G4" i="8"/>
  <c r="F4" i="8"/>
  <c r="E4" i="8"/>
  <c r="D4" i="8"/>
  <c r="C4" i="8"/>
  <c r="B4" i="8"/>
  <c r="W27" i="7"/>
  <c r="M27" i="7"/>
  <c r="N27" i="7" s="1"/>
  <c r="K27" i="7"/>
  <c r="H27" i="7"/>
  <c r="E27" i="7"/>
  <c r="W26" i="7"/>
  <c r="M26" i="7"/>
  <c r="N26" i="7" s="1"/>
  <c r="K26" i="7"/>
  <c r="H26" i="7"/>
  <c r="E26" i="7"/>
  <c r="W25" i="7"/>
  <c r="M25" i="7"/>
  <c r="N25" i="7" s="1"/>
  <c r="K25" i="7"/>
  <c r="H25" i="7"/>
  <c r="E25" i="7"/>
  <c r="W24" i="7"/>
  <c r="M24" i="7"/>
  <c r="N24" i="7" s="1"/>
  <c r="K24" i="7"/>
  <c r="H24" i="7"/>
  <c r="E24" i="7"/>
  <c r="W23" i="7"/>
  <c r="M23" i="7"/>
  <c r="N23" i="7" s="1"/>
  <c r="K23" i="7"/>
  <c r="H23" i="7"/>
  <c r="E23" i="7"/>
  <c r="W22" i="7"/>
  <c r="M22" i="7"/>
  <c r="N22" i="7" s="1"/>
  <c r="K22" i="7"/>
  <c r="H22" i="7"/>
  <c r="E22" i="7"/>
  <c r="W21" i="7"/>
  <c r="M21" i="7"/>
  <c r="N21" i="7" s="1"/>
  <c r="K21" i="7"/>
  <c r="H21" i="7"/>
  <c r="E21" i="7"/>
  <c r="W20" i="7"/>
  <c r="M20" i="7"/>
  <c r="N20" i="7" s="1"/>
  <c r="K20" i="7"/>
  <c r="H20" i="7"/>
  <c r="E20" i="7"/>
  <c r="W19" i="7"/>
  <c r="M19" i="7"/>
  <c r="N19" i="7" s="1"/>
  <c r="K19" i="7"/>
  <c r="H19" i="7"/>
  <c r="E19" i="7"/>
  <c r="W18" i="7"/>
  <c r="M18" i="7"/>
  <c r="N18" i="7" s="1"/>
  <c r="K18" i="7"/>
  <c r="H18" i="7"/>
  <c r="E18" i="7"/>
  <c r="W17" i="7"/>
  <c r="M17" i="7"/>
  <c r="N17" i="7" s="1"/>
  <c r="K17" i="7"/>
  <c r="H17" i="7"/>
  <c r="E17" i="7"/>
  <c r="W16" i="7"/>
  <c r="M16" i="7"/>
  <c r="K16" i="7"/>
  <c r="K4" i="7" s="1"/>
  <c r="H16" i="7"/>
  <c r="H4" i="7" s="1"/>
  <c r="E16" i="7"/>
  <c r="E4" i="7" s="1"/>
  <c r="W15" i="7"/>
  <c r="W4" i="7" s="1"/>
  <c r="N15" i="7"/>
  <c r="M15" i="7"/>
  <c r="K15" i="7"/>
  <c r="H15" i="7"/>
  <c r="E15" i="7"/>
  <c r="W14" i="7"/>
  <c r="M14" i="7"/>
  <c r="N14" i="7" s="1"/>
  <c r="K14" i="7"/>
  <c r="H14" i="7"/>
  <c r="E14" i="7"/>
  <c r="W13" i="7"/>
  <c r="M13" i="7"/>
  <c r="N13" i="7" s="1"/>
  <c r="K13" i="7"/>
  <c r="H13" i="7"/>
  <c r="E13" i="7"/>
  <c r="W12" i="7"/>
  <c r="M12" i="7"/>
  <c r="N12" i="7" s="1"/>
  <c r="K12" i="7"/>
  <c r="H12" i="7"/>
  <c r="E12" i="7"/>
  <c r="W11" i="7"/>
  <c r="M11" i="7"/>
  <c r="N11" i="7" s="1"/>
  <c r="K11" i="7"/>
  <c r="H11" i="7"/>
  <c r="E11" i="7"/>
  <c r="W10" i="7"/>
  <c r="M10" i="7"/>
  <c r="N10" i="7" s="1"/>
  <c r="K10" i="7"/>
  <c r="H10" i="7"/>
  <c r="E10" i="7"/>
  <c r="W9" i="7"/>
  <c r="M9" i="7"/>
  <c r="N9" i="7" s="1"/>
  <c r="K9" i="7"/>
  <c r="H9" i="7"/>
  <c r="E9" i="7"/>
  <c r="W8" i="7"/>
  <c r="M8" i="7"/>
  <c r="N8" i="7" s="1"/>
  <c r="K8" i="7"/>
  <c r="H8" i="7"/>
  <c r="E8" i="7"/>
  <c r="W7" i="7"/>
  <c r="M7" i="7"/>
  <c r="N7" i="7" s="1"/>
  <c r="K7" i="7"/>
  <c r="H7" i="7"/>
  <c r="E7" i="7"/>
  <c r="W6" i="7"/>
  <c r="M6" i="7"/>
  <c r="N6" i="7" s="1"/>
  <c r="K6" i="7"/>
  <c r="H6" i="7"/>
  <c r="E6" i="7"/>
  <c r="Z4" i="7"/>
  <c r="Y4" i="7"/>
  <c r="X4" i="7"/>
  <c r="V4" i="7"/>
  <c r="U4" i="7"/>
  <c r="T4" i="7"/>
  <c r="S4" i="7"/>
  <c r="R4" i="7"/>
  <c r="Q4" i="7"/>
  <c r="P4" i="7"/>
  <c r="O4" i="7"/>
  <c r="J4" i="7"/>
  <c r="G4" i="7"/>
  <c r="D4" i="7"/>
  <c r="B4" i="7"/>
  <c r="W27" i="6"/>
  <c r="M27" i="6"/>
  <c r="N27" i="6" s="1"/>
  <c r="L27" i="6"/>
  <c r="K27" i="6"/>
  <c r="H27" i="6"/>
  <c r="E27" i="6"/>
  <c r="W26" i="6"/>
  <c r="M26" i="6"/>
  <c r="N26" i="6" s="1"/>
  <c r="L26" i="6"/>
  <c r="K26" i="6"/>
  <c r="H26" i="6"/>
  <c r="E26" i="6"/>
  <c r="W25" i="6"/>
  <c r="M25" i="6"/>
  <c r="N25" i="6" s="1"/>
  <c r="L25" i="6"/>
  <c r="K25" i="6"/>
  <c r="H25" i="6"/>
  <c r="E25" i="6"/>
  <c r="W24" i="6"/>
  <c r="M24" i="6"/>
  <c r="N24" i="6" s="1"/>
  <c r="L24" i="6"/>
  <c r="K24" i="6"/>
  <c r="H24" i="6"/>
  <c r="E24" i="6"/>
  <c r="W23" i="6"/>
  <c r="M23" i="6"/>
  <c r="L23" i="6"/>
  <c r="L4" i="6" s="1"/>
  <c r="K23" i="6"/>
  <c r="K4" i="6" s="1"/>
  <c r="H23" i="6"/>
  <c r="H4" i="6" s="1"/>
  <c r="E23" i="6"/>
  <c r="E4" i="6" s="1"/>
  <c r="W22" i="6"/>
  <c r="W4" i="6" s="1"/>
  <c r="N22" i="6"/>
  <c r="M22" i="6"/>
  <c r="L22" i="6"/>
  <c r="K22" i="6"/>
  <c r="H22" i="6"/>
  <c r="E22" i="6"/>
  <c r="W21" i="6"/>
  <c r="M21" i="6"/>
  <c r="N21" i="6" s="1"/>
  <c r="L21" i="6"/>
  <c r="K21" i="6"/>
  <c r="H21" i="6"/>
  <c r="E21" i="6"/>
  <c r="W20" i="6"/>
  <c r="M20" i="6"/>
  <c r="N20" i="6" s="1"/>
  <c r="L20" i="6"/>
  <c r="K20" i="6"/>
  <c r="H20" i="6"/>
  <c r="E20" i="6"/>
  <c r="W19" i="6"/>
  <c r="M19" i="6"/>
  <c r="N19" i="6" s="1"/>
  <c r="L19" i="6"/>
  <c r="K19" i="6"/>
  <c r="H19" i="6"/>
  <c r="E19" i="6"/>
  <c r="W18" i="6"/>
  <c r="M18" i="6"/>
  <c r="N18" i="6" s="1"/>
  <c r="L18" i="6"/>
  <c r="K18" i="6"/>
  <c r="H18" i="6"/>
  <c r="E18" i="6"/>
  <c r="W17" i="6"/>
  <c r="M17" i="6"/>
  <c r="N17" i="6" s="1"/>
  <c r="L17" i="6"/>
  <c r="K17" i="6"/>
  <c r="H17" i="6"/>
  <c r="E17" i="6"/>
  <c r="W16" i="6"/>
  <c r="M16" i="6"/>
  <c r="N16" i="6" s="1"/>
  <c r="L16" i="6"/>
  <c r="K16" i="6"/>
  <c r="H16" i="6"/>
  <c r="E16" i="6"/>
  <c r="W15" i="6"/>
  <c r="M15" i="6"/>
  <c r="N15" i="6" s="1"/>
  <c r="L15" i="6"/>
  <c r="K15" i="6"/>
  <c r="H15" i="6"/>
  <c r="E15" i="6"/>
  <c r="W14" i="6"/>
  <c r="M14" i="6"/>
  <c r="N14" i="6" s="1"/>
  <c r="L14" i="6"/>
  <c r="K14" i="6"/>
  <c r="H14" i="6"/>
  <c r="E14" i="6"/>
  <c r="W13" i="6"/>
  <c r="M13" i="6"/>
  <c r="N13" i="6" s="1"/>
  <c r="L13" i="6"/>
  <c r="K13" i="6"/>
  <c r="H13" i="6"/>
  <c r="E13" i="6"/>
  <c r="W12" i="6"/>
  <c r="M12" i="6"/>
  <c r="N12" i="6" s="1"/>
  <c r="L12" i="6"/>
  <c r="K12" i="6"/>
  <c r="H12" i="6"/>
  <c r="E12" i="6"/>
  <c r="W11" i="6"/>
  <c r="M11" i="6"/>
  <c r="N11" i="6" s="1"/>
  <c r="L11" i="6"/>
  <c r="K11" i="6"/>
  <c r="H11" i="6"/>
  <c r="E11" i="6"/>
  <c r="W10" i="6"/>
  <c r="M10" i="6"/>
  <c r="N10" i="6" s="1"/>
  <c r="L10" i="6"/>
  <c r="K10" i="6"/>
  <c r="H10" i="6"/>
  <c r="E10" i="6"/>
  <c r="W9" i="6"/>
  <c r="M9" i="6"/>
  <c r="N9" i="6" s="1"/>
  <c r="L9" i="6"/>
  <c r="K9" i="6"/>
  <c r="H9" i="6"/>
  <c r="E9" i="6"/>
  <c r="W8" i="6"/>
  <c r="M8" i="6"/>
  <c r="N8" i="6" s="1"/>
  <c r="L8" i="6"/>
  <c r="K8" i="6"/>
  <c r="H8" i="6"/>
  <c r="E8" i="6"/>
  <c r="W7" i="6"/>
  <c r="M7" i="6"/>
  <c r="N7" i="6" s="1"/>
  <c r="L7" i="6"/>
  <c r="K7" i="6"/>
  <c r="H7" i="6"/>
  <c r="E7" i="6"/>
  <c r="W6" i="6"/>
  <c r="M6" i="6"/>
  <c r="N6" i="6" s="1"/>
  <c r="L6" i="6"/>
  <c r="K6" i="6"/>
  <c r="H6" i="6"/>
  <c r="E6" i="6"/>
  <c r="Z4" i="6"/>
  <c r="Y4" i="6"/>
  <c r="X4" i="6"/>
  <c r="V4" i="6"/>
  <c r="U4" i="6"/>
  <c r="T4" i="6"/>
  <c r="S4" i="6"/>
  <c r="R4" i="6"/>
  <c r="Q4" i="6"/>
  <c r="P4" i="6"/>
  <c r="O4" i="6"/>
  <c r="J4" i="6"/>
  <c r="I4" i="6"/>
  <c r="G4" i="6"/>
  <c r="F4" i="6"/>
  <c r="D4" i="6"/>
  <c r="C4" i="6"/>
  <c r="B4" i="6"/>
  <c r="M27" i="5"/>
  <c r="N27" i="5" s="1"/>
  <c r="L27" i="5"/>
  <c r="K27" i="5"/>
  <c r="H27" i="5"/>
  <c r="E27" i="5"/>
  <c r="M26" i="5"/>
  <c r="N26" i="5" s="1"/>
  <c r="L26" i="5"/>
  <c r="K26" i="5"/>
  <c r="H26" i="5"/>
  <c r="E26" i="5"/>
  <c r="M25" i="5"/>
  <c r="N25" i="5" s="1"/>
  <c r="L25" i="5"/>
  <c r="K25" i="5"/>
  <c r="H25" i="5"/>
  <c r="E25" i="5"/>
  <c r="M24" i="5"/>
  <c r="N24" i="5" s="1"/>
  <c r="L24" i="5"/>
  <c r="K24" i="5"/>
  <c r="H24" i="5"/>
  <c r="E24" i="5"/>
  <c r="M23" i="5"/>
  <c r="N23" i="5" s="1"/>
  <c r="L23" i="5"/>
  <c r="K23" i="5"/>
  <c r="H23" i="5"/>
  <c r="E23" i="5"/>
  <c r="M22" i="5"/>
  <c r="N22" i="5" s="1"/>
  <c r="L22" i="5"/>
  <c r="K22" i="5"/>
  <c r="H22" i="5"/>
  <c r="E22" i="5"/>
  <c r="M21" i="5"/>
  <c r="N21" i="5" s="1"/>
  <c r="L21" i="5"/>
  <c r="K21" i="5"/>
  <c r="H21" i="5"/>
  <c r="E21" i="5"/>
  <c r="M20" i="5"/>
  <c r="N20" i="5" s="1"/>
  <c r="L20" i="5"/>
  <c r="K20" i="5"/>
  <c r="H20" i="5"/>
  <c r="E20" i="5"/>
  <c r="M19" i="5"/>
  <c r="N19" i="5" s="1"/>
  <c r="L19" i="5"/>
  <c r="K19" i="5"/>
  <c r="H19" i="5"/>
  <c r="E19" i="5"/>
  <c r="M18" i="5"/>
  <c r="N18" i="5" s="1"/>
  <c r="L18" i="5"/>
  <c r="K18" i="5"/>
  <c r="H18" i="5"/>
  <c r="E18" i="5"/>
  <c r="M17" i="5"/>
  <c r="N17" i="5" s="1"/>
  <c r="L17" i="5"/>
  <c r="K17" i="5"/>
  <c r="H17" i="5"/>
  <c r="E17" i="5"/>
  <c r="M16" i="5"/>
  <c r="N16" i="5" s="1"/>
  <c r="L16" i="5"/>
  <c r="K16" i="5"/>
  <c r="H16" i="5"/>
  <c r="E16" i="5"/>
  <c r="M15" i="5"/>
  <c r="N15" i="5" s="1"/>
  <c r="L15" i="5"/>
  <c r="K15" i="5"/>
  <c r="H15" i="5"/>
  <c r="E15" i="5"/>
  <c r="M14" i="5"/>
  <c r="N14" i="5" s="1"/>
  <c r="L14" i="5"/>
  <c r="K14" i="5"/>
  <c r="H14" i="5"/>
  <c r="E14" i="5"/>
  <c r="M13" i="5"/>
  <c r="N13" i="5" s="1"/>
  <c r="L13" i="5"/>
  <c r="K13" i="5"/>
  <c r="H13" i="5"/>
  <c r="E13" i="5"/>
  <c r="M12" i="5"/>
  <c r="N12" i="5" s="1"/>
  <c r="L12" i="5"/>
  <c r="K12" i="5"/>
  <c r="H12" i="5"/>
  <c r="E12" i="5"/>
  <c r="M11" i="5"/>
  <c r="N11" i="5" s="1"/>
  <c r="L11" i="5"/>
  <c r="K11" i="5"/>
  <c r="H11" i="5"/>
  <c r="E11" i="5"/>
  <c r="M10" i="5"/>
  <c r="N10" i="5" s="1"/>
  <c r="L10" i="5"/>
  <c r="K10" i="5"/>
  <c r="H10" i="5"/>
  <c r="E10" i="5"/>
  <c r="M9" i="5"/>
  <c r="N9" i="5" s="1"/>
  <c r="L9" i="5"/>
  <c r="K9" i="5"/>
  <c r="H9" i="5"/>
  <c r="E9" i="5"/>
  <c r="M8" i="5"/>
  <c r="N8" i="5" s="1"/>
  <c r="L8" i="5"/>
  <c r="K8" i="5"/>
  <c r="H8" i="5"/>
  <c r="E8" i="5"/>
  <c r="M7" i="5"/>
  <c r="N7" i="5" s="1"/>
  <c r="L7" i="5"/>
  <c r="K7" i="5"/>
  <c r="H7" i="5"/>
  <c r="E7" i="5"/>
  <c r="M6" i="5"/>
  <c r="N6" i="5" s="1"/>
  <c r="N4" i="5" s="1"/>
  <c r="L6" i="5"/>
  <c r="K6" i="5"/>
  <c r="H6" i="5"/>
  <c r="E6" i="5"/>
  <c r="Z4" i="5"/>
  <c r="Y4" i="5"/>
  <c r="X4" i="5"/>
  <c r="W4" i="5"/>
  <c r="V4" i="5"/>
  <c r="U4" i="5"/>
  <c r="T4" i="5"/>
  <c r="S4" i="5"/>
  <c r="R4" i="5"/>
  <c r="Q4" i="5"/>
  <c r="P4" i="5"/>
  <c r="O4" i="5"/>
  <c r="M4" i="5"/>
  <c r="L4" i="5"/>
  <c r="K4" i="5"/>
  <c r="J4" i="5"/>
  <c r="I4" i="5"/>
  <c r="H4" i="5"/>
  <c r="G4" i="5"/>
  <c r="F4" i="5"/>
  <c r="E4" i="5"/>
  <c r="D4" i="5"/>
  <c r="C4" i="5"/>
  <c r="B4" i="5"/>
  <c r="M27" i="4"/>
  <c r="N27" i="4" s="1"/>
  <c r="L27" i="4"/>
  <c r="K27" i="4"/>
  <c r="H27" i="4"/>
  <c r="E27" i="4"/>
  <c r="M26" i="4"/>
  <c r="N26" i="4" s="1"/>
  <c r="L26" i="4"/>
  <c r="K26" i="4"/>
  <c r="H26" i="4"/>
  <c r="E26" i="4"/>
  <c r="M25" i="4"/>
  <c r="N25" i="4" s="1"/>
  <c r="L25" i="4"/>
  <c r="K25" i="4"/>
  <c r="H25" i="4"/>
  <c r="E25" i="4"/>
  <c r="N24" i="4"/>
  <c r="M24" i="4"/>
  <c r="L24" i="4"/>
  <c r="K24" i="4"/>
  <c r="H24" i="4"/>
  <c r="E24" i="4"/>
  <c r="M23" i="4"/>
  <c r="N23" i="4" s="1"/>
  <c r="L23" i="4"/>
  <c r="K23" i="4"/>
  <c r="H23" i="4"/>
  <c r="E23" i="4"/>
  <c r="M22" i="4"/>
  <c r="N22" i="4" s="1"/>
  <c r="L22" i="4"/>
  <c r="K22" i="4"/>
  <c r="H22" i="4"/>
  <c r="E22" i="4"/>
  <c r="M21" i="4"/>
  <c r="N21" i="4" s="1"/>
  <c r="L21" i="4"/>
  <c r="K21" i="4"/>
  <c r="H21" i="4"/>
  <c r="E21" i="4"/>
  <c r="M20" i="4"/>
  <c r="L20" i="4"/>
  <c r="L4" i="4" s="1"/>
  <c r="K20" i="4"/>
  <c r="K4" i="4" s="1"/>
  <c r="H20" i="4"/>
  <c r="H4" i="4" s="1"/>
  <c r="E20" i="4"/>
  <c r="E4" i="4" s="1"/>
  <c r="M19" i="4"/>
  <c r="N19" i="4" s="1"/>
  <c r="L19" i="4"/>
  <c r="K19" i="4"/>
  <c r="H19" i="4"/>
  <c r="E19" i="4"/>
  <c r="M18" i="4"/>
  <c r="N18" i="4" s="1"/>
  <c r="L18" i="4"/>
  <c r="K18" i="4"/>
  <c r="H18" i="4"/>
  <c r="E18" i="4"/>
  <c r="M17" i="4"/>
  <c r="N17" i="4" s="1"/>
  <c r="L17" i="4"/>
  <c r="K17" i="4"/>
  <c r="H17" i="4"/>
  <c r="E17" i="4"/>
  <c r="M16" i="4"/>
  <c r="N16" i="4" s="1"/>
  <c r="L16" i="4"/>
  <c r="K16" i="4"/>
  <c r="H16" i="4"/>
  <c r="E16" i="4"/>
  <c r="M15" i="4"/>
  <c r="N15" i="4" s="1"/>
  <c r="L15" i="4"/>
  <c r="K15" i="4"/>
  <c r="H15" i="4"/>
  <c r="E15" i="4"/>
  <c r="M14" i="4"/>
  <c r="N14" i="4" s="1"/>
  <c r="L14" i="4"/>
  <c r="K14" i="4"/>
  <c r="H14" i="4"/>
  <c r="E14" i="4"/>
  <c r="M13" i="4"/>
  <c r="N13" i="4" s="1"/>
  <c r="L13" i="4"/>
  <c r="K13" i="4"/>
  <c r="H13" i="4"/>
  <c r="E13" i="4"/>
  <c r="M12" i="4"/>
  <c r="N12" i="4" s="1"/>
  <c r="L12" i="4"/>
  <c r="K12" i="4"/>
  <c r="H12" i="4"/>
  <c r="E12" i="4"/>
  <c r="M11" i="4"/>
  <c r="N11" i="4" s="1"/>
  <c r="L11" i="4"/>
  <c r="K11" i="4"/>
  <c r="H11" i="4"/>
  <c r="E11" i="4"/>
  <c r="M10" i="4"/>
  <c r="N10" i="4" s="1"/>
  <c r="L10" i="4"/>
  <c r="K10" i="4"/>
  <c r="H10" i="4"/>
  <c r="E10" i="4"/>
  <c r="M9" i="4"/>
  <c r="N9" i="4" s="1"/>
  <c r="L9" i="4"/>
  <c r="K9" i="4"/>
  <c r="H9" i="4"/>
  <c r="E9" i="4"/>
  <c r="M8" i="4"/>
  <c r="N8" i="4" s="1"/>
  <c r="L8" i="4"/>
  <c r="K8" i="4"/>
  <c r="H8" i="4"/>
  <c r="E8" i="4"/>
  <c r="M7" i="4"/>
  <c r="N7" i="4" s="1"/>
  <c r="L7" i="4"/>
  <c r="K7" i="4"/>
  <c r="H7" i="4"/>
  <c r="E7" i="4"/>
  <c r="M6" i="4"/>
  <c r="N6" i="4" s="1"/>
  <c r="L6" i="4"/>
  <c r="K6" i="4"/>
  <c r="H6" i="4"/>
  <c r="E6" i="4"/>
  <c r="Z4" i="4"/>
  <c r="Y4" i="4"/>
  <c r="X4" i="4"/>
  <c r="W4" i="4"/>
  <c r="V4" i="4"/>
  <c r="U4" i="4"/>
  <c r="T4" i="4"/>
  <c r="S4" i="4"/>
  <c r="R4" i="4"/>
  <c r="Q4" i="4"/>
  <c r="P4" i="4"/>
  <c r="O4" i="4"/>
  <c r="J4" i="4"/>
  <c r="I4" i="4"/>
  <c r="G4" i="4"/>
  <c r="F4" i="4"/>
  <c r="D4" i="4"/>
  <c r="C4" i="4"/>
  <c r="B4" i="4"/>
  <c r="M27" i="3"/>
  <c r="L27" i="3"/>
  <c r="L4" i="3" s="1"/>
  <c r="K27" i="3"/>
  <c r="K4" i="3" s="1"/>
  <c r="H27" i="3"/>
  <c r="H4" i="3" s="1"/>
  <c r="E27" i="3"/>
  <c r="E4" i="3" s="1"/>
  <c r="N26" i="3"/>
  <c r="M26" i="3"/>
  <c r="L26" i="3"/>
  <c r="K26" i="3"/>
  <c r="H26" i="3"/>
  <c r="E26" i="3"/>
  <c r="M25" i="3"/>
  <c r="N25" i="3" s="1"/>
  <c r="L25" i="3"/>
  <c r="K25" i="3"/>
  <c r="H25" i="3"/>
  <c r="E25" i="3"/>
  <c r="M24" i="3"/>
  <c r="N24" i="3" s="1"/>
  <c r="L24" i="3"/>
  <c r="K24" i="3"/>
  <c r="H24" i="3"/>
  <c r="E24" i="3"/>
  <c r="M23" i="3"/>
  <c r="N23" i="3" s="1"/>
  <c r="L23" i="3"/>
  <c r="K23" i="3"/>
  <c r="H23" i="3"/>
  <c r="E23" i="3"/>
  <c r="M22" i="3"/>
  <c r="N22" i="3" s="1"/>
  <c r="L22" i="3"/>
  <c r="K22" i="3"/>
  <c r="H22" i="3"/>
  <c r="E22" i="3"/>
  <c r="M21" i="3"/>
  <c r="N21" i="3" s="1"/>
  <c r="L21" i="3"/>
  <c r="K21" i="3"/>
  <c r="H21" i="3"/>
  <c r="E21" i="3"/>
  <c r="M20" i="3"/>
  <c r="N20" i="3" s="1"/>
  <c r="L20" i="3"/>
  <c r="K20" i="3"/>
  <c r="H20" i="3"/>
  <c r="E20" i="3"/>
  <c r="M19" i="3"/>
  <c r="N19" i="3" s="1"/>
  <c r="L19" i="3"/>
  <c r="K19" i="3"/>
  <c r="H19" i="3"/>
  <c r="E19" i="3"/>
  <c r="M18" i="3"/>
  <c r="N18" i="3" s="1"/>
  <c r="L18" i="3"/>
  <c r="K18" i="3"/>
  <c r="H18" i="3"/>
  <c r="E18" i="3"/>
  <c r="M17" i="3"/>
  <c r="N17" i="3" s="1"/>
  <c r="L17" i="3"/>
  <c r="K17" i="3"/>
  <c r="H17" i="3"/>
  <c r="E17" i="3"/>
  <c r="M16" i="3"/>
  <c r="N16" i="3" s="1"/>
  <c r="L16" i="3"/>
  <c r="K16" i="3"/>
  <c r="H16" i="3"/>
  <c r="E16" i="3"/>
  <c r="M15" i="3"/>
  <c r="N15" i="3" s="1"/>
  <c r="L15" i="3"/>
  <c r="K15" i="3"/>
  <c r="H15" i="3"/>
  <c r="E15" i="3"/>
  <c r="M14" i="3"/>
  <c r="N14" i="3" s="1"/>
  <c r="L14" i="3"/>
  <c r="K14" i="3"/>
  <c r="H14" i="3"/>
  <c r="E14" i="3"/>
  <c r="M13" i="3"/>
  <c r="N13" i="3" s="1"/>
  <c r="L13" i="3"/>
  <c r="K13" i="3"/>
  <c r="H13" i="3"/>
  <c r="E13" i="3"/>
  <c r="M12" i="3"/>
  <c r="N12" i="3" s="1"/>
  <c r="L12" i="3"/>
  <c r="K12" i="3"/>
  <c r="H12" i="3"/>
  <c r="E12" i="3"/>
  <c r="M11" i="3"/>
  <c r="N11" i="3" s="1"/>
  <c r="L11" i="3"/>
  <c r="K11" i="3"/>
  <c r="H11" i="3"/>
  <c r="E11" i="3"/>
  <c r="M10" i="3"/>
  <c r="N10" i="3" s="1"/>
  <c r="L10" i="3"/>
  <c r="K10" i="3"/>
  <c r="H10" i="3"/>
  <c r="E10" i="3"/>
  <c r="M9" i="3"/>
  <c r="N9" i="3" s="1"/>
  <c r="L9" i="3"/>
  <c r="K9" i="3"/>
  <c r="H9" i="3"/>
  <c r="E9" i="3"/>
  <c r="M8" i="3"/>
  <c r="N8" i="3" s="1"/>
  <c r="L8" i="3"/>
  <c r="K8" i="3"/>
  <c r="H8" i="3"/>
  <c r="E8" i="3"/>
  <c r="M7" i="3"/>
  <c r="N7" i="3" s="1"/>
  <c r="L7" i="3"/>
  <c r="K7" i="3"/>
  <c r="H7" i="3"/>
  <c r="E7" i="3"/>
  <c r="M6" i="3"/>
  <c r="N6" i="3" s="1"/>
  <c r="L6" i="3"/>
  <c r="K6" i="3"/>
  <c r="H6" i="3"/>
  <c r="E6" i="3"/>
  <c r="Z4" i="3"/>
  <c r="Y4" i="3"/>
  <c r="X4" i="3"/>
  <c r="W4" i="3"/>
  <c r="V4" i="3"/>
  <c r="U4" i="3"/>
  <c r="T4" i="3"/>
  <c r="S4" i="3"/>
  <c r="R4" i="3"/>
  <c r="Q4" i="3"/>
  <c r="P4" i="3"/>
  <c r="O4" i="3"/>
  <c r="J4" i="3"/>
  <c r="I4" i="3"/>
  <c r="G4" i="3"/>
  <c r="F4" i="3"/>
  <c r="D4" i="3"/>
  <c r="C4" i="3"/>
  <c r="B4" i="3"/>
  <c r="M27" i="2"/>
  <c r="N27" i="2" s="1"/>
  <c r="L27" i="2"/>
  <c r="K27" i="2"/>
  <c r="H27" i="2"/>
  <c r="E27" i="2"/>
  <c r="M26" i="2"/>
  <c r="N26" i="2" s="1"/>
  <c r="L26" i="2"/>
  <c r="K26" i="2"/>
  <c r="H26" i="2"/>
  <c r="E26" i="2"/>
  <c r="M25" i="2"/>
  <c r="N25" i="2" s="1"/>
  <c r="L25" i="2"/>
  <c r="K25" i="2"/>
  <c r="H25" i="2"/>
  <c r="E25" i="2"/>
  <c r="M24" i="2"/>
  <c r="N24" i="2" s="1"/>
  <c r="L24" i="2"/>
  <c r="K24" i="2"/>
  <c r="H24" i="2"/>
  <c r="E24" i="2"/>
  <c r="M23" i="2"/>
  <c r="N23" i="2" s="1"/>
  <c r="L23" i="2"/>
  <c r="K23" i="2"/>
  <c r="H23" i="2"/>
  <c r="E23" i="2"/>
  <c r="M22" i="2"/>
  <c r="N22" i="2" s="1"/>
  <c r="L22" i="2"/>
  <c r="K22" i="2"/>
  <c r="H22" i="2"/>
  <c r="E22" i="2"/>
  <c r="M21" i="2"/>
  <c r="N21" i="2" s="1"/>
  <c r="L21" i="2"/>
  <c r="K21" i="2"/>
  <c r="H21" i="2"/>
  <c r="E21" i="2"/>
  <c r="M20" i="2"/>
  <c r="N20" i="2" s="1"/>
  <c r="L20" i="2"/>
  <c r="K20" i="2"/>
  <c r="H20" i="2"/>
  <c r="E20" i="2"/>
  <c r="M19" i="2"/>
  <c r="N19" i="2" s="1"/>
  <c r="L19" i="2"/>
  <c r="K19" i="2"/>
  <c r="H19" i="2"/>
  <c r="E19" i="2"/>
  <c r="M18" i="2"/>
  <c r="N18" i="2" s="1"/>
  <c r="L18" i="2"/>
  <c r="K18" i="2"/>
  <c r="H18" i="2"/>
  <c r="E18" i="2"/>
  <c r="M17" i="2"/>
  <c r="N17" i="2" s="1"/>
  <c r="L17" i="2"/>
  <c r="K17" i="2"/>
  <c r="H17" i="2"/>
  <c r="E17" i="2"/>
  <c r="M16" i="2"/>
  <c r="N16" i="2" s="1"/>
  <c r="L16" i="2"/>
  <c r="K16" i="2"/>
  <c r="H16" i="2"/>
  <c r="E16" i="2"/>
  <c r="M15" i="2"/>
  <c r="N15" i="2" s="1"/>
  <c r="L15" i="2"/>
  <c r="K15" i="2"/>
  <c r="H15" i="2"/>
  <c r="H4" i="2" s="1"/>
  <c r="E15" i="2"/>
  <c r="E4" i="2" s="1"/>
  <c r="M14" i="2"/>
  <c r="L14" i="2"/>
  <c r="L4" i="2" s="1"/>
  <c r="K14" i="2"/>
  <c r="K4" i="2" s="1"/>
  <c r="H14" i="2"/>
  <c r="E14" i="2"/>
  <c r="M13" i="2"/>
  <c r="N13" i="2" s="1"/>
  <c r="L13" i="2"/>
  <c r="K13" i="2"/>
  <c r="H13" i="2"/>
  <c r="E13" i="2"/>
  <c r="M12" i="2"/>
  <c r="N12" i="2" s="1"/>
  <c r="L12" i="2"/>
  <c r="K12" i="2"/>
  <c r="H12" i="2"/>
  <c r="E12" i="2"/>
  <c r="M11" i="2"/>
  <c r="N11" i="2" s="1"/>
  <c r="L11" i="2"/>
  <c r="K11" i="2"/>
  <c r="H11" i="2"/>
  <c r="E11" i="2"/>
  <c r="M10" i="2"/>
  <c r="N10" i="2" s="1"/>
  <c r="L10" i="2"/>
  <c r="K10" i="2"/>
  <c r="H10" i="2"/>
  <c r="E10" i="2"/>
  <c r="M9" i="2"/>
  <c r="N9" i="2" s="1"/>
  <c r="L9" i="2"/>
  <c r="K9" i="2"/>
  <c r="H9" i="2"/>
  <c r="E9" i="2"/>
  <c r="M8" i="2"/>
  <c r="N8" i="2" s="1"/>
  <c r="L8" i="2"/>
  <c r="K8" i="2"/>
  <c r="H8" i="2"/>
  <c r="E8" i="2"/>
  <c r="M7" i="2"/>
  <c r="N7" i="2" s="1"/>
  <c r="L7" i="2"/>
  <c r="K7" i="2"/>
  <c r="H7" i="2"/>
  <c r="E7" i="2"/>
  <c r="M6" i="2"/>
  <c r="N6" i="2" s="1"/>
  <c r="L6" i="2"/>
  <c r="K6" i="2"/>
  <c r="H6" i="2"/>
  <c r="E6" i="2"/>
  <c r="Z4" i="2"/>
  <c r="Y4" i="2"/>
  <c r="X4" i="2"/>
  <c r="W4" i="2"/>
  <c r="V4" i="2"/>
  <c r="U4" i="2"/>
  <c r="T4" i="2"/>
  <c r="S4" i="2"/>
  <c r="R4" i="2"/>
  <c r="Q4" i="2"/>
  <c r="P4" i="2"/>
  <c r="O4" i="2"/>
  <c r="J4" i="2"/>
  <c r="I4" i="2"/>
  <c r="G4" i="2"/>
  <c r="F4" i="2"/>
  <c r="D4" i="2"/>
  <c r="C4" i="2"/>
  <c r="B4" i="2"/>
  <c r="M27" i="1"/>
  <c r="N27" i="1" s="1"/>
  <c r="L27" i="1"/>
  <c r="K27" i="1"/>
  <c r="H27" i="1"/>
  <c r="E27" i="1"/>
  <c r="M26" i="1"/>
  <c r="N26" i="1" s="1"/>
  <c r="L26" i="1"/>
  <c r="K26" i="1"/>
  <c r="H26" i="1"/>
  <c r="E26" i="1"/>
  <c r="M25" i="1"/>
  <c r="N25" i="1" s="1"/>
  <c r="L25" i="1"/>
  <c r="K25" i="1"/>
  <c r="H25" i="1"/>
  <c r="E25" i="1"/>
  <c r="M24" i="1"/>
  <c r="N24" i="1" s="1"/>
  <c r="L24" i="1"/>
  <c r="K24" i="1"/>
  <c r="H24" i="1"/>
  <c r="E24" i="1"/>
  <c r="M23" i="1"/>
  <c r="N23" i="1" s="1"/>
  <c r="L23" i="1"/>
  <c r="K23" i="1"/>
  <c r="H23" i="1"/>
  <c r="E23" i="1"/>
  <c r="M22" i="1"/>
  <c r="N22" i="1" s="1"/>
  <c r="L22" i="1"/>
  <c r="K22" i="1"/>
  <c r="H22" i="1"/>
  <c r="E22" i="1"/>
  <c r="M21" i="1"/>
  <c r="N21" i="1" s="1"/>
  <c r="L21" i="1"/>
  <c r="K21" i="1"/>
  <c r="H21" i="1"/>
  <c r="E21" i="1"/>
  <c r="M20" i="1"/>
  <c r="N20" i="1" s="1"/>
  <c r="L20" i="1"/>
  <c r="K20" i="1"/>
  <c r="H20" i="1"/>
  <c r="E20" i="1"/>
  <c r="M19" i="1"/>
  <c r="N19" i="1" s="1"/>
  <c r="L19" i="1"/>
  <c r="K19" i="1"/>
  <c r="H19" i="1"/>
  <c r="E19" i="1"/>
  <c r="M18" i="1"/>
  <c r="N18" i="1" s="1"/>
  <c r="L18" i="1"/>
  <c r="K18" i="1"/>
  <c r="H18" i="1"/>
  <c r="E18" i="1"/>
  <c r="M17" i="1"/>
  <c r="N17" i="1" s="1"/>
  <c r="L17" i="1"/>
  <c r="K17" i="1"/>
  <c r="H17" i="1"/>
  <c r="E17" i="1"/>
  <c r="M16" i="1"/>
  <c r="N16" i="1" s="1"/>
  <c r="L16" i="1"/>
  <c r="K16" i="1"/>
  <c r="H16" i="1"/>
  <c r="E16" i="1"/>
  <c r="M15" i="1"/>
  <c r="N15" i="1" s="1"/>
  <c r="L15" i="1"/>
  <c r="K15" i="1"/>
  <c r="H15" i="1"/>
  <c r="E15" i="1"/>
  <c r="M14" i="1"/>
  <c r="N14" i="1" s="1"/>
  <c r="L14" i="1"/>
  <c r="K14" i="1"/>
  <c r="H14" i="1"/>
  <c r="E14" i="1"/>
  <c r="M13" i="1"/>
  <c r="N13" i="1" s="1"/>
  <c r="L13" i="1"/>
  <c r="K13" i="1"/>
  <c r="H13" i="1"/>
  <c r="E13" i="1"/>
  <c r="M12" i="1"/>
  <c r="N12" i="1" s="1"/>
  <c r="L12" i="1"/>
  <c r="K12" i="1"/>
  <c r="H12" i="1"/>
  <c r="E12" i="1"/>
  <c r="M11" i="1"/>
  <c r="N11" i="1" s="1"/>
  <c r="L11" i="1"/>
  <c r="K11" i="1"/>
  <c r="H11" i="1"/>
  <c r="E11" i="1"/>
  <c r="M10" i="1"/>
  <c r="N10" i="1" s="1"/>
  <c r="L10" i="1"/>
  <c r="K10" i="1"/>
  <c r="H10" i="1"/>
  <c r="E10" i="1"/>
  <c r="M9" i="1"/>
  <c r="N9" i="1" s="1"/>
  <c r="L9" i="1"/>
  <c r="K9" i="1"/>
  <c r="H9" i="1"/>
  <c r="E9" i="1"/>
  <c r="M8" i="1"/>
  <c r="N8" i="1" s="1"/>
  <c r="L8" i="1"/>
  <c r="K8" i="1"/>
  <c r="H8" i="1"/>
  <c r="E8" i="1"/>
  <c r="M7" i="1"/>
  <c r="N7" i="1" s="1"/>
  <c r="L7" i="1"/>
  <c r="K7" i="1"/>
  <c r="H7" i="1"/>
  <c r="E7" i="1"/>
  <c r="M6" i="1"/>
  <c r="N6" i="1" s="1"/>
  <c r="L6" i="1"/>
  <c r="K6" i="1"/>
  <c r="H6" i="1"/>
  <c r="E6" i="1"/>
  <c r="Z4" i="1"/>
  <c r="Y4" i="1"/>
  <c r="X4" i="1"/>
  <c r="W4" i="1"/>
  <c r="V4" i="1"/>
  <c r="U4" i="1"/>
  <c r="T4" i="1"/>
  <c r="S4" i="1"/>
  <c r="R4" i="1"/>
  <c r="Q4" i="1"/>
  <c r="P4" i="1"/>
  <c r="O4" i="1"/>
  <c r="M4" i="1"/>
  <c r="L4" i="1"/>
  <c r="K4" i="1"/>
  <c r="J4" i="1"/>
  <c r="I4" i="1"/>
  <c r="H4" i="1"/>
  <c r="G4" i="1"/>
  <c r="F4" i="1"/>
  <c r="E4" i="1"/>
  <c r="D4" i="1"/>
  <c r="C4" i="1"/>
  <c r="B4" i="1"/>
  <c r="M4" i="7" l="1"/>
  <c r="N16" i="7"/>
  <c r="N4" i="7" s="1"/>
  <c r="M4" i="6"/>
  <c r="N23" i="6"/>
  <c r="N4" i="6" s="1"/>
  <c r="M4" i="4"/>
  <c r="N20" i="4"/>
  <c r="N4" i="4" s="1"/>
  <c r="M4" i="3"/>
  <c r="N27" i="3"/>
  <c r="N4" i="3" s="1"/>
  <c r="M4" i="2"/>
  <c r="N14" i="2"/>
  <c r="N4" i="2" s="1"/>
  <c r="N4" i="1"/>
</calcChain>
</file>

<file path=xl/sharedStrings.xml><?xml version="1.0" encoding="utf-8"?>
<sst xmlns="http://schemas.openxmlformats.org/spreadsheetml/2006/main" count="475" uniqueCount="63">
  <si>
    <t xml:space="preserve"> На 10.06.2026</t>
  </si>
  <si>
    <t>состоит на учете</t>
  </si>
  <si>
    <t>состояли на учете на 31.12.2025</t>
  </si>
  <si>
    <t>обратились в КЦ</t>
  </si>
  <si>
    <t>сняты с учета</t>
  </si>
  <si>
    <t>причины снятия с учета</t>
  </si>
  <si>
    <t>Обучение (нарастающий итог с 01.01.2026)</t>
  </si>
  <si>
    <t>Всего</t>
  </si>
  <si>
    <t>инвалид</t>
  </si>
  <si>
    <t>ИТУ</t>
  </si>
  <si>
    <t>ИТУ+Инвалид</t>
  </si>
  <si>
    <t>образование</t>
  </si>
  <si>
    <t>возраст</t>
  </si>
  <si>
    <t>Краткий комментарий о состоящих на учете</t>
  </si>
  <si>
    <t>предыдущая неделя</t>
  </si>
  <si>
    <t>За 2 недели</t>
  </si>
  <si>
    <t>Всего трудоустройство</t>
  </si>
  <si>
    <t>Всего иная причина</t>
  </si>
  <si>
    <t>направлено</t>
  </si>
  <si>
    <t>завершили</t>
  </si>
  <si>
    <t>ВО</t>
  </si>
  <si>
    <t>СПО</t>
  </si>
  <si>
    <t>иное</t>
  </si>
  <si>
    <t>До 30</t>
  </si>
  <si>
    <t>От 30 до 50</t>
  </si>
  <si>
    <t>От 51</t>
  </si>
  <si>
    <t>Архангельская область</t>
  </si>
  <si>
    <t>х</t>
  </si>
  <si>
    <t>в том числе:</t>
  </si>
  <si>
    <t xml:space="preserve"> Северодвинск</t>
  </si>
  <si>
    <t xml:space="preserve"> Коряжма</t>
  </si>
  <si>
    <t xml:space="preserve"> Новодвинск</t>
  </si>
  <si>
    <t xml:space="preserve"> Онежский округ</t>
  </si>
  <si>
    <t xml:space="preserve"> Вельский округ</t>
  </si>
  <si>
    <t xml:space="preserve"> Верхнетоемский округ</t>
  </si>
  <si>
    <t xml:space="preserve"> Вилегодский округ</t>
  </si>
  <si>
    <t xml:space="preserve"> Виноградовский округ</t>
  </si>
  <si>
    <t xml:space="preserve"> Каргопольский округ</t>
  </si>
  <si>
    <t xml:space="preserve"> Коношский округ</t>
  </si>
  <si>
    <t xml:space="preserve"> Красноборский округ</t>
  </si>
  <si>
    <t xml:space="preserve"> Ленский округ</t>
  </si>
  <si>
    <t xml:space="preserve"> Лешуконский округ</t>
  </si>
  <si>
    <t xml:space="preserve"> Мезенский округ</t>
  </si>
  <si>
    <t xml:space="preserve"> Няндомский округ</t>
  </si>
  <si>
    <t xml:space="preserve"> Пинежский округ</t>
  </si>
  <si>
    <t xml:space="preserve"> Устьянский округ</t>
  </si>
  <si>
    <t xml:space="preserve"> Холмогорский округ</t>
  </si>
  <si>
    <t xml:space="preserve"> Шенкурский округ</t>
  </si>
  <si>
    <t xml:space="preserve"> Архангельск</t>
  </si>
  <si>
    <t xml:space="preserve"> Котлас</t>
  </si>
  <si>
    <t xml:space="preserve"> Плесецкий округ/ Мирный</t>
  </si>
  <si>
    <t>8 Нац проект</t>
  </si>
  <si>
    <t xml:space="preserve"> На 28.05.2026</t>
  </si>
  <si>
    <t>За неделю</t>
  </si>
  <si>
    <t xml:space="preserve"> На 21.05.2026</t>
  </si>
  <si>
    <t>2 Нац проект</t>
  </si>
  <si>
    <t xml:space="preserve"> На 14.05.2026</t>
  </si>
  <si>
    <t xml:space="preserve"> На 07.05.2026</t>
  </si>
  <si>
    <t>за неделю</t>
  </si>
  <si>
    <t>за 2 недели</t>
  </si>
  <si>
    <t xml:space="preserve"> На 30.04.2026</t>
  </si>
  <si>
    <t xml:space="preserve"> На 23.04.2026</t>
  </si>
  <si>
    <t xml:space="preserve"> На 14.04.2026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</si>
</sst>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9]mmm&quot;.&quot;yy"/>
    <numFmt numFmtId="165" formatCode="#,##0.00&quot; &quot;[$руб.-419];[Red]&quot;-&quot;#,##0.00&quot; &quot;[$руб.-419]"/>
    <numFmt numFmtId="166" formatCode="[$-419]General"/>
  </numFmts>
  <fonts count="39">
    <font>
      <sz val="16"/>
      <color theme="1"/>
      <name val="Arial"/>
      <family val="2"/>
    </font>
    <font>
      <sz val="16"/>
      <color theme="1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800000"/>
      <name val="Calibri"/>
      <family val="2"/>
    </font>
    <font>
      <b/>
      <sz val="11"/>
      <color rgb="FFFF6600"/>
      <name val="Calibri"/>
      <family val="2"/>
    </font>
    <font>
      <b/>
      <sz val="11"/>
      <color rgb="FFFFFFFF"/>
      <name val="Calibri"/>
      <family val="2"/>
    </font>
    <font>
      <i/>
      <sz val="11"/>
      <color rgb="FF808080"/>
      <name val="Calibri"/>
      <family val="2"/>
    </font>
    <font>
      <sz val="11"/>
      <color rgb="FF008000"/>
      <name val="Calibri"/>
      <family val="2"/>
    </font>
    <font>
      <b/>
      <sz val="15"/>
      <color rgb="FF333399"/>
      <name val="Calibri"/>
      <family val="2"/>
    </font>
    <font>
      <b/>
      <sz val="13"/>
      <color rgb="FF333399"/>
      <name val="Calibri"/>
      <family val="2"/>
    </font>
    <font>
      <b/>
      <sz val="11"/>
      <color rgb="FF333399"/>
      <name val="Calibri"/>
      <family val="2"/>
    </font>
    <font>
      <sz val="11"/>
      <color rgb="FF333399"/>
      <name val="Calibri"/>
      <family val="2"/>
    </font>
    <font>
      <sz val="11"/>
      <color rgb="FFFF6600"/>
      <name val="Calibri"/>
      <family val="2"/>
    </font>
    <font>
      <sz val="11"/>
      <color rgb="FF808000"/>
      <name val="Calibri"/>
      <family val="2"/>
    </font>
    <font>
      <b/>
      <sz val="11"/>
      <color rgb="FF333333"/>
      <name val="Calibri"/>
      <family val="2"/>
    </font>
    <font>
      <b/>
      <sz val="18"/>
      <color rgb="FF333399"/>
      <name val="Cambria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i/>
      <sz val="16"/>
      <color theme="1"/>
      <name val="Arial"/>
      <family val="2"/>
    </font>
    <font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b/>
      <i/>
      <u/>
      <sz val="16"/>
      <color theme="1"/>
      <name val="Arial"/>
      <family val="2"/>
    </font>
    <font>
      <sz val="10"/>
      <color theme="1"/>
      <name val="Arial Cyr"/>
      <family val="2"/>
    </font>
    <font>
      <sz val="10"/>
      <color theme="1"/>
      <name val="Arial Cyr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3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CCFF"/>
        <bgColor rgb="FFCCCCFF"/>
      </patternFill>
    </fill>
    <fill>
      <patternFill patternType="solid">
        <fgColor rgb="FFFFFFCC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C0C0C0"/>
        <bgColor rgb="FFC0C0C0"/>
      </patternFill>
    </fill>
    <fill>
      <patternFill patternType="solid">
        <fgColor rgb="FFCCFFCC"/>
        <bgColor rgb="FFCCFFCC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rgb="FFFF8080"/>
        <bgColor rgb="FFFF8080"/>
      </patternFill>
    </fill>
    <fill>
      <patternFill patternType="solid">
        <fgColor rgb="FF666699"/>
        <bgColor rgb="FF666699"/>
      </patternFill>
    </fill>
    <fill>
      <patternFill patternType="solid">
        <fgColor rgb="FF993366"/>
        <bgColor rgb="FF993366"/>
      </patternFill>
    </fill>
    <fill>
      <patternFill patternType="solid">
        <fgColor rgb="FF969696"/>
        <bgColor rgb="FF969696"/>
      </patternFill>
    </fill>
    <fill>
      <patternFill patternType="solid">
        <fgColor rgb="FF33CCCC"/>
        <bgColor rgb="FF33CCCC"/>
      </patternFill>
    </fill>
    <fill>
      <patternFill patternType="solid">
        <fgColor rgb="FFFF99CC"/>
        <bgColor rgb="FFFF99CC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B0E0E6"/>
        <bgColor rgb="FFB0E0E6"/>
      </patternFill>
    </fill>
    <fill>
      <patternFill patternType="solid">
        <fgColor rgb="FFFAF0E6"/>
        <bgColor rgb="FFFAF0E6"/>
      </patternFill>
    </fill>
    <fill>
      <patternFill patternType="solid">
        <fgColor rgb="FF7FFFD4"/>
        <bgColor rgb="FF7FFFD4"/>
      </patternFill>
    </fill>
    <fill>
      <patternFill patternType="solid">
        <fgColor rgb="FFFFF0F5"/>
        <bgColor rgb="FFFFF0F5"/>
      </patternFill>
    </fill>
    <fill>
      <patternFill patternType="solid">
        <fgColor rgb="FFFFE4E1"/>
        <bgColor rgb="FFFFE4E1"/>
      </patternFill>
    </fill>
    <fill>
      <patternFill patternType="solid">
        <fgColor rgb="FFFFFF00"/>
        <bgColor rgb="FFFFFF00"/>
      </patternFill>
    </fill>
    <fill>
      <patternFill patternType="solid">
        <fgColor rgb="FFFF4500"/>
        <bgColor rgb="FFFF4500"/>
      </patternFill>
    </fill>
    <fill>
      <patternFill patternType="solid">
        <fgColor rgb="FFFAEBD7"/>
        <bgColor rgb="FFFAEBD7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63">
    <xf numFmtId="0" fontId="0" fillId="0" borderId="0"/>
    <xf numFmtId="0" fontId="25" fillId="0" borderId="0">
      <alignment horizontal="center" textRotation="90"/>
    </xf>
    <xf numFmtId="0" fontId="26" fillId="0" borderId="0">
      <alignment horizontal="center"/>
    </xf>
    <xf numFmtId="0" fontId="24" fillId="11" borderId="0"/>
    <xf numFmtId="0" fontId="4" fillId="5" borderId="0"/>
    <xf numFmtId="0" fontId="28" fillId="8" borderId="0"/>
    <xf numFmtId="0" fontId="29" fillId="8" borderId="7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7" borderId="0"/>
    <xf numFmtId="0" fontId="6" fillId="8" borderId="0"/>
    <xf numFmtId="0" fontId="6" fillId="8" borderId="0"/>
    <xf numFmtId="0" fontId="6" fillId="7" borderId="0"/>
    <xf numFmtId="0" fontId="6" fillId="9" borderId="0"/>
    <xf numFmtId="0" fontId="6" fillId="8" borderId="0"/>
    <xf numFmtId="0" fontId="6" fillId="7" borderId="0"/>
    <xf numFmtId="0" fontId="6" fillId="10" borderId="0"/>
    <xf numFmtId="0" fontId="6" fillId="11" borderId="0"/>
    <xf numFmtId="0" fontId="6" fillId="10" borderId="0"/>
    <xf numFmtId="0" fontId="6" fillId="7" borderId="0"/>
    <xf numFmtId="0" fontId="6" fillId="12" borderId="0"/>
    <xf numFmtId="0" fontId="7" fillId="13" borderId="0"/>
    <xf numFmtId="0" fontId="7" fillId="14" borderId="0"/>
    <xf numFmtId="0" fontId="7" fillId="10" borderId="0"/>
    <xf numFmtId="0" fontId="7" fillId="10" borderId="0"/>
    <xf numFmtId="0" fontId="7" fillId="13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5" borderId="0"/>
    <xf numFmtId="0" fontId="7" fillId="18" borderId="0"/>
    <xf numFmtId="0" fontId="7" fillId="14" borderId="0"/>
    <xf numFmtId="0" fontId="8" fillId="19" borderId="0"/>
    <xf numFmtId="0" fontId="9" fillId="20" borderId="1"/>
    <xf numFmtId="0" fontId="10" fillId="17" borderId="2"/>
    <xf numFmtId="0" fontId="11" fillId="0" borderId="0"/>
    <xf numFmtId="0" fontId="12" fillId="11" borderId="0"/>
    <xf numFmtId="0" fontId="13" fillId="0" borderId="3"/>
    <xf numFmtId="0" fontId="14" fillId="0" borderId="3"/>
    <xf numFmtId="0" fontId="15" fillId="0" borderId="4"/>
    <xf numFmtId="0" fontId="15" fillId="0" borderId="0"/>
    <xf numFmtId="0" fontId="16" fillId="12" borderId="1"/>
    <xf numFmtId="0" fontId="17" fillId="0" borderId="5"/>
    <xf numFmtId="0" fontId="18" fillId="21" borderId="0"/>
    <xf numFmtId="0" fontId="1" fillId="8" borderId="1"/>
    <xf numFmtId="0" fontId="19" fillId="20" borderId="1"/>
    <xf numFmtId="0" fontId="20" fillId="0" borderId="0"/>
    <xf numFmtId="0" fontId="21" fillId="0" borderId="6"/>
    <xf numFmtId="0" fontId="22" fillId="0" borderId="0"/>
    <xf numFmtId="0" fontId="23" fillId="0" borderId="0"/>
    <xf numFmtId="0" fontId="25" fillId="0" borderId="0">
      <alignment horizontal="center"/>
    </xf>
    <xf numFmtId="0" fontId="27" fillId="0" borderId="0"/>
    <xf numFmtId="0" fontId="30" fillId="0" borderId="0"/>
    <xf numFmtId="165" fontId="30" fillId="0" borderId="0"/>
    <xf numFmtId="0" fontId="1" fillId="0" borderId="0"/>
    <xf numFmtId="0" fontId="1" fillId="0" borderId="0"/>
    <xf numFmtId="0" fontId="4" fillId="0" borderId="0"/>
    <xf numFmtId="0" fontId="31" fillId="0" borderId="0"/>
    <xf numFmtId="166" fontId="32" fillId="0" borderId="0"/>
  </cellStyleXfs>
  <cellXfs count="48">
    <xf numFmtId="0" fontId="0" fillId="0" borderId="0" xfId="0"/>
    <xf numFmtId="164" fontId="33" fillId="0" borderId="1" xfId="0" applyNumberFormat="1" applyFont="1" applyFill="1" applyBorder="1"/>
    <xf numFmtId="0" fontId="33" fillId="0" borderId="1" xfId="0" applyFont="1" applyFill="1" applyBorder="1" applyAlignment="1">
      <alignment horizontal="center"/>
    </xf>
    <xf numFmtId="0" fontId="34" fillId="0" borderId="0" xfId="0" applyFont="1" applyFill="1"/>
    <xf numFmtId="0" fontId="34" fillId="0" borderId="1" xfId="0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 wrapText="1"/>
    </xf>
    <xf numFmtId="0" fontId="34" fillId="23" borderId="1" xfId="0" applyFont="1" applyFill="1" applyBorder="1" applyAlignment="1">
      <alignment horizontal="center" vertical="center" wrapText="1"/>
    </xf>
    <xf numFmtId="0" fontId="34" fillId="24" borderId="1" xfId="0" applyFont="1" applyFill="1" applyBorder="1" applyAlignment="1">
      <alignment horizontal="center" vertical="center" wrapText="1"/>
    </xf>
    <xf numFmtId="0" fontId="34" fillId="0" borderId="0" xfId="0" applyFont="1" applyFill="1" applyAlignment="1">
      <alignment vertical="center"/>
    </xf>
    <xf numFmtId="0" fontId="36" fillId="2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4" fillId="0" borderId="0" xfId="0" applyFont="1" applyFill="1" applyAlignment="1">
      <alignment horizontal="center" vertical="center"/>
    </xf>
    <xf numFmtId="0" fontId="37" fillId="0" borderId="1" xfId="0" applyFont="1" applyFill="1" applyBorder="1" applyAlignment="1">
      <alignment vertical="center"/>
    </xf>
    <xf numFmtId="0" fontId="37" fillId="0" borderId="1" xfId="0" applyFont="1" applyFill="1" applyBorder="1" applyAlignment="1">
      <alignment horizontal="center" vertical="center"/>
    </xf>
    <xf numFmtId="0" fontId="37" fillId="23" borderId="1" xfId="0" applyFont="1" applyFill="1" applyBorder="1" applyAlignment="1">
      <alignment horizontal="center" vertical="center"/>
    </xf>
    <xf numFmtId="0" fontId="37" fillId="24" borderId="1" xfId="0" applyFont="1" applyFill="1" applyBorder="1" applyAlignment="1">
      <alignment horizontal="center" vertical="center"/>
    </xf>
    <xf numFmtId="0" fontId="37" fillId="25" borderId="1" xfId="0" applyFont="1" applyFill="1" applyBorder="1" applyAlignment="1">
      <alignment horizontal="center" vertical="center"/>
    </xf>
    <xf numFmtId="0" fontId="37" fillId="22" borderId="1" xfId="0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left" vertical="center"/>
    </xf>
    <xf numFmtId="0" fontId="38" fillId="0" borderId="1" xfId="0" applyFont="1" applyFill="1" applyBorder="1" applyAlignment="1">
      <alignment horizontal="center" vertical="center"/>
    </xf>
    <xf numFmtId="0" fontId="37" fillId="26" borderId="1" xfId="0" applyFont="1" applyFill="1" applyBorder="1" applyAlignment="1">
      <alignment horizontal="center" vertical="center"/>
    </xf>
    <xf numFmtId="0" fontId="38" fillId="24" borderId="1" xfId="0" applyFont="1" applyFill="1" applyBorder="1" applyAlignment="1">
      <alignment horizontal="center" vertical="center"/>
    </xf>
    <xf numFmtId="0" fontId="38" fillId="25" borderId="1" xfId="0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vertical="center"/>
    </xf>
    <xf numFmtId="0" fontId="38" fillId="26" borderId="1" xfId="0" applyFont="1" applyFill="1" applyBorder="1" applyAlignment="1">
      <alignment horizontal="center" vertical="center"/>
    </xf>
    <xf numFmtId="0" fontId="38" fillId="22" borderId="1" xfId="0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 vertical="center" wrapText="1"/>
    </xf>
    <xf numFmtId="0" fontId="38" fillId="27" borderId="1" xfId="0" applyFont="1" applyFill="1" applyBorder="1" applyAlignment="1">
      <alignment horizontal="center" vertical="center"/>
    </xf>
    <xf numFmtId="0" fontId="33" fillId="0" borderId="0" xfId="0" applyFont="1" applyFill="1" applyAlignment="1">
      <alignment vertical="center"/>
    </xf>
    <xf numFmtId="0" fontId="38" fillId="0" borderId="1" xfId="0" applyFont="1" applyFill="1" applyBorder="1" applyAlignment="1">
      <alignment vertical="center" wrapText="1"/>
    </xf>
    <xf numFmtId="0" fontId="38" fillId="0" borderId="0" xfId="0" applyFont="1" applyFill="1" applyBorder="1"/>
    <xf numFmtId="0" fontId="38" fillId="0" borderId="0" xfId="0" applyFont="1" applyFill="1" applyBorder="1" applyAlignment="1">
      <alignment horizontal="center"/>
    </xf>
    <xf numFmtId="0" fontId="34" fillId="0" borderId="0" xfId="0" applyFont="1" applyFill="1" applyBorder="1" applyAlignment="1">
      <alignment horizontal="center"/>
    </xf>
    <xf numFmtId="0" fontId="37" fillId="0" borderId="0" xfId="0" applyFont="1" applyFill="1" applyBorder="1"/>
    <xf numFmtId="0" fontId="37" fillId="0" borderId="0" xfId="0" applyFont="1" applyFill="1" applyBorder="1" applyAlignment="1">
      <alignment horizontal="center"/>
    </xf>
    <xf numFmtId="0" fontId="34" fillId="0" borderId="0" xfId="0" applyFont="1" applyFill="1" applyAlignment="1">
      <alignment horizontal="center"/>
    </xf>
    <xf numFmtId="164" fontId="33" fillId="0" borderId="1" xfId="0" applyNumberFormat="1" applyFont="1" applyFill="1" applyBorder="1" applyAlignment="1">
      <alignment horizontal="left" vertical="center"/>
    </xf>
    <xf numFmtId="0" fontId="33" fillId="22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34" fillId="0" borderId="1" xfId="0" applyFont="1" applyFill="1" applyBorder="1" applyAlignment="1">
      <alignment horizontal="center" vertical="center" wrapText="1"/>
    </xf>
    <xf numFmtId="0" fontId="34" fillId="23" borderId="1" xfId="0" applyFont="1" applyFill="1" applyBorder="1" applyAlignment="1">
      <alignment horizontal="center" vertical="center" wrapText="1"/>
    </xf>
    <xf numFmtId="0" fontId="34" fillId="24" borderId="1" xfId="0" applyFont="1" applyFill="1" applyBorder="1" applyAlignment="1">
      <alignment horizontal="center" vertical="center" wrapText="1"/>
    </xf>
    <xf numFmtId="0" fontId="34" fillId="25" borderId="1" xfId="0" applyFont="1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/>
    </xf>
    <xf numFmtId="0" fontId="35" fillId="0" borderId="1" xfId="0" applyFont="1" applyFill="1" applyBorder="1" applyAlignment="1">
      <alignment horizontal="center" vertical="center" wrapText="1"/>
    </xf>
    <xf numFmtId="0" fontId="38" fillId="28" borderId="1" xfId="0" applyFont="1" applyFill="1" applyBorder="1" applyAlignment="1">
      <alignment horizontal="center" vertical="center"/>
    </xf>
    <xf numFmtId="0" fontId="38" fillId="29" borderId="1" xfId="0" applyFont="1" applyFill="1" applyBorder="1" applyAlignment="1">
      <alignment horizontal="center" vertical="center"/>
    </xf>
    <xf numFmtId="0" fontId="38" fillId="23" borderId="1" xfId="0" applyFont="1" applyFill="1" applyBorder="1" applyAlignment="1">
      <alignment horizontal="center" vertical="center"/>
    </xf>
  </cellXfs>
  <cellStyles count="63">
    <cellStyle name="Accent" xfId="7" xr:uid="{44CEE09E-CC47-2040-A300-DB8828D4795C}"/>
    <cellStyle name="Accent 1" xfId="8" xr:uid="{0B808DEE-2E88-A64C-89BD-BB62F96A632F}"/>
    <cellStyle name="Accent 2" xfId="9" xr:uid="{ED38C861-16DB-7848-BB1B-9C81C958929C}"/>
    <cellStyle name="Accent 3" xfId="10" xr:uid="{A4F28B0D-C09F-9645-AAE3-0613C85C92A0}"/>
    <cellStyle name="Bad" xfId="4" builtinId="27" customBuiltin="1"/>
    <cellStyle name="Error" xfId="11" xr:uid="{14EE7262-35D0-594C-ABAB-FE43BD1C0475}"/>
    <cellStyle name="Excel Built-in 20% - Accent1" xfId="12" xr:uid="{E5E8D7E2-8251-494F-9E35-FD92F5430FCB}"/>
    <cellStyle name="Excel Built-in 20% - Accent2" xfId="13" xr:uid="{39B43147-D113-0941-9508-72E8239F21C6}"/>
    <cellStyle name="Excel Built-in 20% - Accent3" xfId="14" xr:uid="{09978F09-B72C-FC42-85EA-F113C1385991}"/>
    <cellStyle name="Excel Built-in 20% - Accent4" xfId="15" xr:uid="{B1BF63F2-BB28-5C48-90DE-AB7058328D96}"/>
    <cellStyle name="Excel Built-in 20% - Accent5" xfId="16" xr:uid="{1939A519-8109-774E-8526-10E9775180F5}"/>
    <cellStyle name="Excel Built-in 20% - Accent6" xfId="17" xr:uid="{6C80B87E-F9F7-1C46-8778-8A761A406BDC}"/>
    <cellStyle name="Excel Built-in 40% - Accent1" xfId="18" xr:uid="{D033F94B-8171-DE40-A7FC-82E9F462D6DB}"/>
    <cellStyle name="Excel Built-in 40% - Accent2" xfId="19" xr:uid="{0E459608-B960-B24B-BECA-64E7CEDECBBB}"/>
    <cellStyle name="Excel Built-in 40% - Accent3" xfId="20" xr:uid="{C6E7E0D3-30CE-0041-B4DD-192F37F15273}"/>
    <cellStyle name="Excel Built-in 40% - Accent4" xfId="21" xr:uid="{70CD5DE2-5A3F-4641-9632-603F83B0A589}"/>
    <cellStyle name="Excel Built-in 40% - Accent5" xfId="22" xr:uid="{10F15EC4-895E-2748-AD19-170C630EF72F}"/>
    <cellStyle name="Excel Built-in 40% - Accent6" xfId="23" xr:uid="{28757909-1434-874F-BE65-2592E9A515F1}"/>
    <cellStyle name="Excel Built-in 60% - Accent1" xfId="24" xr:uid="{F5F13735-14C2-0541-9FAB-230F245DBE79}"/>
    <cellStyle name="Excel Built-in 60% - Accent2" xfId="25" xr:uid="{F01DFE43-690C-C244-81AD-0BB1E4B8C129}"/>
    <cellStyle name="Excel Built-in 60% - Accent3" xfId="26" xr:uid="{E85E8FE5-AD46-EE4C-8AAF-6A2E52347B94}"/>
    <cellStyle name="Excel Built-in 60% - Accent4" xfId="27" xr:uid="{5BC3AC94-A450-1848-AF6E-BFDCBB4F794B}"/>
    <cellStyle name="Excel Built-in 60% - Accent5" xfId="28" xr:uid="{E0A29D84-3B29-4143-8543-9EB22A1CBBB9}"/>
    <cellStyle name="Excel Built-in 60% - Accent6" xfId="29" xr:uid="{9A6DC2B9-1B02-D047-B533-B02A59401FE2}"/>
    <cellStyle name="Excel Built-in Accent1" xfId="30" xr:uid="{456C6016-2E49-7A40-9CC7-4A7B033EF2CF}"/>
    <cellStyle name="Excel Built-in Accent2" xfId="31" xr:uid="{B31D4628-6FF1-B842-BAB9-328F333DF33C}"/>
    <cellStyle name="Excel Built-in Accent3" xfId="32" xr:uid="{319A09C3-0795-804B-9662-A29DE8A46917}"/>
    <cellStyle name="Excel Built-in Accent4" xfId="33" xr:uid="{C8F62341-B167-E442-819B-ADFC4912082C}"/>
    <cellStyle name="Excel Built-in Accent5" xfId="34" xr:uid="{40E6949D-9BAD-E346-B74A-6F8B74424831}"/>
    <cellStyle name="Excel Built-in Accent6" xfId="35" xr:uid="{9E062A62-BC06-BE4B-91A9-5AB4DBE50DA6}"/>
    <cellStyle name="Excel Built-in Bad" xfId="36" xr:uid="{6BD33C72-EDEC-4549-98DD-F883C6B51E93}"/>
    <cellStyle name="Excel Built-in Calculation" xfId="37" xr:uid="{F3E4FF80-4307-6344-892F-F97E2ACC0412}"/>
    <cellStyle name="Excel Built-in Check Cell" xfId="38" xr:uid="{34A067C2-1A49-484D-8DBA-257E766DFAB2}"/>
    <cellStyle name="Excel Built-in Explanatory Text" xfId="39" xr:uid="{19833DBE-84DA-D84D-94F0-BF4C6A9D6DBF}"/>
    <cellStyle name="Excel Built-in Good" xfId="40" xr:uid="{7FC377C1-B154-5C48-A4F8-9B959CA59449}"/>
    <cellStyle name="Excel Built-in Heading 1" xfId="41" xr:uid="{D668D2AA-5821-E745-AADC-7C6EDC9BC497}"/>
    <cellStyle name="Excel Built-in Heading 2" xfId="42" xr:uid="{A32121ED-0383-F441-897B-DC85B46475C2}"/>
    <cellStyle name="Excel Built-in Heading 3" xfId="43" xr:uid="{ABE03684-4B83-7348-92B0-A188A49C4FA9}"/>
    <cellStyle name="Excel Built-in Heading 4" xfId="44" xr:uid="{C563382E-AB64-1346-8041-601180BF0437}"/>
    <cellStyle name="Excel Built-in Input" xfId="45" xr:uid="{7DEA3005-604C-CC40-B05C-9D857C77E1E2}"/>
    <cellStyle name="Excel Built-in Linked Cell" xfId="46" xr:uid="{0786C2F5-2812-C34F-8F0D-D3664F0A879A}"/>
    <cellStyle name="Excel Built-in Neutral" xfId="47" xr:uid="{908DD626-1676-F74F-B70E-44C2038E4889}"/>
    <cellStyle name="Excel Built-in Note" xfId="48" xr:uid="{0A2E859E-28A0-B045-99AA-1A023477C5F8}"/>
    <cellStyle name="Excel Built-in Output" xfId="49" xr:uid="{F6437E31-7317-BD4B-85C8-D6A751F766D3}"/>
    <cellStyle name="Excel Built-in Title" xfId="50" xr:uid="{ADD5C2AD-B819-774A-B8D6-5AFEC482AAD1}"/>
    <cellStyle name="Excel Built-in Total" xfId="51" xr:uid="{8F415CC9-BAF0-3046-9FCF-390AE1ECF512}"/>
    <cellStyle name="Excel Built-in Warning Text" xfId="52" xr:uid="{3E162BEF-2886-7F40-8C3B-F2D6B1A015ED}"/>
    <cellStyle name="Footnote" xfId="53" xr:uid="{5A7E4DA5-F158-A049-A667-FC9D8B9381D2}"/>
    <cellStyle name="Good" xfId="3" builtinId="26" customBuiltin="1"/>
    <cellStyle name="Heading" xfId="54" xr:uid="{E889B26A-7A27-0446-B6E3-D6CAA98AEB68}"/>
    <cellStyle name="Heading 1" xfId="1" builtinId="16" customBuiltin="1"/>
    <cellStyle name="Heading 2" xfId="2" builtinId="17" customBuiltin="1"/>
    <cellStyle name="Hyperlink" xfId="55" xr:uid="{77888BAB-B456-464B-9FDE-599353A1A130}"/>
    <cellStyle name="Neutral" xfId="5" builtinId="28" customBuiltin="1"/>
    <cellStyle name="Normal" xfId="0" builtinId="0" customBuiltin="1"/>
    <cellStyle name="Note" xfId="6" builtinId="10" customBuiltin="1"/>
    <cellStyle name="Result" xfId="56" xr:uid="{16A4D376-CC62-FB47-ACE6-3686EAD292B6}"/>
    <cellStyle name="Result2" xfId="57" xr:uid="{28F7FA8B-73C0-8449-82E0-0B1D2B4852C9}"/>
    <cellStyle name="Status" xfId="58" xr:uid="{68E5A35C-7946-1B43-89B6-D7166FDB7068}"/>
    <cellStyle name="Text" xfId="59" xr:uid="{6FC7B4F2-96D6-014C-B89A-A2419CA1C420}"/>
    <cellStyle name="Warning" xfId="60" xr:uid="{E6F69DDC-4D2C-D24F-9C16-8B89BD0E04F2}"/>
    <cellStyle name="Обычный 2" xfId="61" xr:uid="{516EE3F4-2DB7-9348-BC4B-D640BC86B988}"/>
    <cellStyle name="Обычный 3" xfId="62" xr:uid="{0680274B-2388-5840-B740-BC46B2E2DD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931AC-56A6-6546-B2DE-B072A772A244}">
  <sheetPr>
    <tabColor rgb="FF00FFFF"/>
  </sheetPr>
  <dimension ref="A1:XFD37"/>
  <sheetViews>
    <sheetView tabSelected="1" workbookViewId="0">
      <selection sqref="A1:N1"/>
    </sheetView>
  </sheetViews>
  <sheetFormatPr baseColWidth="10" defaultRowHeight="13.75"/>
  <cols>
    <col min="1" max="1" width="21" style="3" customWidth="1"/>
    <col min="2" max="2" width="8.6640625" style="35" customWidth="1"/>
    <col min="3" max="10" width="7" style="3" customWidth="1"/>
    <col min="11" max="11" width="6.33203125" style="3" customWidth="1"/>
    <col min="12" max="12" width="6" style="3" customWidth="1"/>
    <col min="13" max="13" width="6.5546875" style="3" customWidth="1"/>
    <col min="14" max="14" width="7.44140625" style="3" customWidth="1"/>
    <col min="15" max="15" width="7.6640625" style="3" customWidth="1"/>
    <col min="16" max="16" width="7" style="3" customWidth="1"/>
    <col min="17" max="17" width="7" style="35" customWidth="1"/>
    <col min="18" max="18" width="6.33203125" style="35" customWidth="1"/>
    <col min="19" max="19" width="6" style="35" customWidth="1"/>
    <col min="20" max="20" width="5.33203125" style="35" customWidth="1"/>
    <col min="21" max="21" width="6.5546875" style="35" customWidth="1"/>
    <col min="22" max="22" width="7.44140625" style="35" customWidth="1"/>
    <col min="23" max="23" width="6.109375" style="35" customWidth="1"/>
    <col min="24" max="24" width="6.6640625" style="35" customWidth="1"/>
    <col min="25" max="25" width="7.109375" style="35" customWidth="1"/>
    <col min="26" max="26" width="7.44140625" style="35" customWidth="1"/>
    <col min="27" max="27" width="45.33203125" style="35" customWidth="1"/>
    <col min="28" max="28" width="11.33203125" style="3" customWidth="1"/>
    <col min="29" max="29" width="11.44140625" style="3" customWidth="1"/>
    <col min="30" max="30" width="10.109375" style="3" customWidth="1"/>
    <col min="31" max="45" width="7.5546875" style="3" customWidth="1"/>
    <col min="46" max="1022" width="9.44140625" style="3" customWidth="1"/>
  </cols>
  <sheetData>
    <row r="1" spans="1:27" ht="20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1"/>
      <c r="P1" s="1"/>
      <c r="Q1" s="37" t="s">
        <v>1</v>
      </c>
      <c r="R1" s="37"/>
      <c r="S1" s="37"/>
      <c r="T1" s="37"/>
      <c r="U1" s="37"/>
      <c r="V1" s="37"/>
      <c r="W1" s="37"/>
      <c r="X1" s="37"/>
      <c r="Y1" s="37"/>
      <c r="Z1" s="37"/>
      <c r="AA1" s="2"/>
    </row>
    <row r="2" spans="1:27" s="8" customFormat="1" ht="46.5" customHeight="1">
      <c r="A2" s="38"/>
      <c r="B2" s="39" t="s">
        <v>2</v>
      </c>
      <c r="C2" s="40" t="s">
        <v>3</v>
      </c>
      <c r="D2" s="40"/>
      <c r="E2" s="40"/>
      <c r="F2" s="41" t="s">
        <v>4</v>
      </c>
      <c r="G2" s="41"/>
      <c r="H2" s="41"/>
      <c r="I2" s="39" t="s">
        <v>5</v>
      </c>
      <c r="J2" s="39"/>
      <c r="K2" s="39"/>
      <c r="L2" s="39"/>
      <c r="M2" s="39"/>
      <c r="N2" s="39"/>
      <c r="O2" s="42" t="s">
        <v>6</v>
      </c>
      <c r="P2" s="42"/>
      <c r="Q2" s="43" t="s">
        <v>7</v>
      </c>
      <c r="R2" s="39" t="s">
        <v>8</v>
      </c>
      <c r="S2" s="39" t="s">
        <v>9</v>
      </c>
      <c r="T2" s="44" t="s">
        <v>10</v>
      </c>
      <c r="U2" s="39" t="s">
        <v>11</v>
      </c>
      <c r="V2" s="39"/>
      <c r="W2" s="39"/>
      <c r="X2" s="39" t="s">
        <v>12</v>
      </c>
      <c r="Y2" s="39"/>
      <c r="Z2" s="39"/>
      <c r="AA2" s="39" t="s">
        <v>13</v>
      </c>
    </row>
    <row r="3" spans="1:27" s="11" customFormat="1" ht="58.75" customHeight="1">
      <c r="A3" s="38"/>
      <c r="B3" s="39"/>
      <c r="C3" s="5" t="s">
        <v>14</v>
      </c>
      <c r="D3" s="6" t="s">
        <v>7</v>
      </c>
      <c r="E3" s="5" t="s">
        <v>15</v>
      </c>
      <c r="F3" s="5" t="s">
        <v>14</v>
      </c>
      <c r="G3" s="7" t="s">
        <v>7</v>
      </c>
      <c r="H3" s="5" t="s">
        <v>15</v>
      </c>
      <c r="I3" s="5" t="s">
        <v>14</v>
      </c>
      <c r="J3" s="5" t="s">
        <v>16</v>
      </c>
      <c r="K3" s="5" t="s">
        <v>15</v>
      </c>
      <c r="L3" s="5" t="s">
        <v>14</v>
      </c>
      <c r="M3" s="5" t="s">
        <v>17</v>
      </c>
      <c r="N3" s="5" t="s">
        <v>15</v>
      </c>
      <c r="O3" s="9" t="s">
        <v>18</v>
      </c>
      <c r="P3" s="9" t="s">
        <v>19</v>
      </c>
      <c r="Q3" s="43"/>
      <c r="R3" s="39"/>
      <c r="S3" s="39"/>
      <c r="T3" s="44"/>
      <c r="U3" s="10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39"/>
    </row>
    <row r="4" spans="1:27" s="8" customFormat="1" ht="17" customHeight="1">
      <c r="A4" s="12" t="s">
        <v>26</v>
      </c>
      <c r="B4" s="13">
        <f t="shared" ref="B4:Z4" si="0">SUM(B6:B27)</f>
        <v>53</v>
      </c>
      <c r="C4" s="13">
        <f t="shared" si="0"/>
        <v>140</v>
      </c>
      <c r="D4" s="14">
        <f t="shared" si="0"/>
        <v>147</v>
      </c>
      <c r="E4" s="13">
        <f t="shared" si="0"/>
        <v>7</v>
      </c>
      <c r="F4" s="13">
        <f t="shared" si="0"/>
        <v>123</v>
      </c>
      <c r="G4" s="15">
        <f t="shared" si="0"/>
        <v>136</v>
      </c>
      <c r="H4" s="13">
        <f t="shared" si="0"/>
        <v>13</v>
      </c>
      <c r="I4" s="13">
        <f t="shared" si="0"/>
        <v>40</v>
      </c>
      <c r="J4" s="13">
        <f t="shared" si="0"/>
        <v>42</v>
      </c>
      <c r="K4" s="13">
        <f t="shared" si="0"/>
        <v>2</v>
      </c>
      <c r="L4" s="13">
        <f t="shared" si="0"/>
        <v>83</v>
      </c>
      <c r="M4" s="13">
        <f t="shared" si="0"/>
        <v>94</v>
      </c>
      <c r="N4" s="13">
        <f t="shared" si="0"/>
        <v>11</v>
      </c>
      <c r="O4" s="16">
        <f t="shared" si="0"/>
        <v>12</v>
      </c>
      <c r="P4" s="16">
        <f t="shared" si="0"/>
        <v>0</v>
      </c>
      <c r="Q4" s="17">
        <f t="shared" si="0"/>
        <v>64</v>
      </c>
      <c r="R4" s="13">
        <f t="shared" si="0"/>
        <v>25</v>
      </c>
      <c r="S4" s="13">
        <f t="shared" si="0"/>
        <v>6</v>
      </c>
      <c r="T4" s="13">
        <f t="shared" si="0"/>
        <v>7</v>
      </c>
      <c r="U4" s="13">
        <f t="shared" si="0"/>
        <v>9</v>
      </c>
      <c r="V4" s="13">
        <f t="shared" si="0"/>
        <v>25</v>
      </c>
      <c r="W4" s="13">
        <f t="shared" si="0"/>
        <v>30</v>
      </c>
      <c r="X4" s="13">
        <f t="shared" si="0"/>
        <v>6</v>
      </c>
      <c r="Y4" s="13">
        <f t="shared" si="0"/>
        <v>46</v>
      </c>
      <c r="Z4" s="13">
        <f t="shared" si="0"/>
        <v>12</v>
      </c>
      <c r="AA4" s="13" t="s">
        <v>27</v>
      </c>
    </row>
    <row r="5" spans="1:27" s="8" customFormat="1" ht="16.5" customHeight="1">
      <c r="A5" s="18" t="s">
        <v>28</v>
      </c>
      <c r="B5" s="19"/>
      <c r="C5" s="13"/>
      <c r="D5" s="20"/>
      <c r="E5" s="13"/>
      <c r="F5" s="13"/>
      <c r="G5" s="21"/>
      <c r="H5" s="19"/>
      <c r="I5" s="19"/>
      <c r="J5" s="19"/>
      <c r="K5" s="19"/>
      <c r="L5" s="19"/>
      <c r="M5" s="19"/>
      <c r="N5" s="19"/>
      <c r="O5" s="22"/>
      <c r="P5" s="22"/>
      <c r="Q5" s="17"/>
      <c r="R5" s="13"/>
      <c r="S5" s="19"/>
      <c r="T5" s="19"/>
      <c r="U5" s="19"/>
      <c r="V5" s="19"/>
      <c r="W5" s="19"/>
      <c r="X5" s="19"/>
      <c r="Y5" s="19"/>
      <c r="Z5" s="19"/>
      <c r="AA5" s="19"/>
    </row>
    <row r="6" spans="1:27" s="8" customFormat="1" ht="17" customHeight="1">
      <c r="A6" s="23" t="s">
        <v>29</v>
      </c>
      <c r="B6" s="19">
        <v>7</v>
      </c>
      <c r="C6" s="19">
        <v>18</v>
      </c>
      <c r="D6" s="24">
        <v>18</v>
      </c>
      <c r="E6" s="19">
        <f t="shared" ref="E6:E27" si="1">D6-C6</f>
        <v>0</v>
      </c>
      <c r="F6" s="19">
        <v>19</v>
      </c>
      <c r="G6" s="21">
        <v>20</v>
      </c>
      <c r="H6" s="19">
        <f t="shared" ref="H6:H27" si="2">G6-F6</f>
        <v>1</v>
      </c>
      <c r="I6" s="19">
        <v>7</v>
      </c>
      <c r="J6" s="19">
        <v>8</v>
      </c>
      <c r="K6" s="19">
        <f t="shared" ref="K6:K27" si="3">J6-I6</f>
        <v>1</v>
      </c>
      <c r="L6" s="19">
        <f t="shared" ref="L6:L27" si="4">F6-I6</f>
        <v>12</v>
      </c>
      <c r="M6" s="19">
        <f t="shared" ref="M6:M27" si="5">G6-J6</f>
        <v>12</v>
      </c>
      <c r="N6" s="19">
        <f t="shared" ref="N6:N27" si="6">M6-L6</f>
        <v>0</v>
      </c>
      <c r="O6" s="22"/>
      <c r="P6" s="22"/>
      <c r="Q6" s="25">
        <v>5</v>
      </c>
      <c r="R6" s="19">
        <v>2</v>
      </c>
      <c r="S6" s="19">
        <v>0</v>
      </c>
      <c r="T6" s="19">
        <v>2</v>
      </c>
      <c r="U6" s="19">
        <v>3</v>
      </c>
      <c r="V6" s="19">
        <v>2</v>
      </c>
      <c r="W6" s="19">
        <v>0</v>
      </c>
      <c r="X6" s="19">
        <v>0</v>
      </c>
      <c r="Y6" s="19">
        <v>5</v>
      </c>
      <c r="Z6" s="19">
        <v>0</v>
      </c>
      <c r="AA6" s="26"/>
    </row>
    <row r="7" spans="1:27" s="8" customFormat="1" ht="17" customHeight="1">
      <c r="A7" s="23" t="s">
        <v>30</v>
      </c>
      <c r="B7" s="19">
        <v>3</v>
      </c>
      <c r="C7" s="19">
        <v>6</v>
      </c>
      <c r="D7" s="24">
        <v>6</v>
      </c>
      <c r="E7" s="19">
        <f t="shared" si="1"/>
        <v>0</v>
      </c>
      <c r="F7" s="19">
        <v>7</v>
      </c>
      <c r="G7" s="21">
        <v>8</v>
      </c>
      <c r="H7" s="19">
        <f t="shared" si="2"/>
        <v>1</v>
      </c>
      <c r="I7" s="19">
        <v>3</v>
      </c>
      <c r="J7" s="19">
        <v>4</v>
      </c>
      <c r="K7" s="19">
        <f t="shared" si="3"/>
        <v>1</v>
      </c>
      <c r="L7" s="19">
        <f t="shared" si="4"/>
        <v>4</v>
      </c>
      <c r="M7" s="19">
        <f t="shared" si="5"/>
        <v>4</v>
      </c>
      <c r="N7" s="19">
        <f t="shared" si="6"/>
        <v>0</v>
      </c>
      <c r="O7" s="22"/>
      <c r="P7" s="22"/>
      <c r="Q7" s="25">
        <v>1</v>
      </c>
      <c r="R7" s="19">
        <v>0</v>
      </c>
      <c r="S7" s="19">
        <v>1</v>
      </c>
      <c r="T7" s="19"/>
      <c r="U7" s="19">
        <v>0</v>
      </c>
      <c r="V7" s="19">
        <v>0</v>
      </c>
      <c r="W7" s="19">
        <v>1</v>
      </c>
      <c r="X7" s="19">
        <v>0</v>
      </c>
      <c r="Y7" s="19">
        <v>1</v>
      </c>
      <c r="Z7" s="19">
        <v>0</v>
      </c>
      <c r="AA7" s="26"/>
    </row>
    <row r="8" spans="1:27" s="8" customFormat="1" ht="17" customHeight="1">
      <c r="A8" s="23" t="s">
        <v>31</v>
      </c>
      <c r="B8" s="19">
        <v>4</v>
      </c>
      <c r="C8" s="19">
        <v>9</v>
      </c>
      <c r="D8" s="24">
        <v>10</v>
      </c>
      <c r="E8" s="19">
        <f t="shared" si="1"/>
        <v>1</v>
      </c>
      <c r="F8" s="19">
        <v>4</v>
      </c>
      <c r="G8" s="21">
        <v>6</v>
      </c>
      <c r="H8" s="19">
        <f t="shared" si="2"/>
        <v>2</v>
      </c>
      <c r="I8" s="19">
        <v>0</v>
      </c>
      <c r="J8" s="19">
        <v>0</v>
      </c>
      <c r="K8" s="19">
        <f t="shared" si="3"/>
        <v>0</v>
      </c>
      <c r="L8" s="19">
        <f t="shared" si="4"/>
        <v>4</v>
      </c>
      <c r="M8" s="19">
        <f t="shared" si="5"/>
        <v>6</v>
      </c>
      <c r="N8" s="19">
        <f t="shared" si="6"/>
        <v>2</v>
      </c>
      <c r="O8" s="22"/>
      <c r="P8" s="22"/>
      <c r="Q8" s="25">
        <v>8</v>
      </c>
      <c r="R8" s="19">
        <v>4</v>
      </c>
      <c r="S8" s="19">
        <v>0</v>
      </c>
      <c r="T8" s="19">
        <v>2</v>
      </c>
      <c r="U8" s="19">
        <v>1</v>
      </c>
      <c r="V8" s="19">
        <v>3</v>
      </c>
      <c r="W8" s="19">
        <v>4</v>
      </c>
      <c r="X8" s="19">
        <v>1</v>
      </c>
      <c r="Y8" s="19">
        <v>6</v>
      </c>
      <c r="Z8" s="4">
        <v>1</v>
      </c>
      <c r="AA8" s="26"/>
    </row>
    <row r="9" spans="1:27" s="8" customFormat="1" ht="17" customHeight="1">
      <c r="A9" s="23" t="s">
        <v>32</v>
      </c>
      <c r="B9" s="19">
        <v>2</v>
      </c>
      <c r="C9" s="19">
        <v>7</v>
      </c>
      <c r="D9" s="24">
        <v>7</v>
      </c>
      <c r="E9" s="19">
        <f t="shared" si="1"/>
        <v>0</v>
      </c>
      <c r="F9" s="19">
        <v>5</v>
      </c>
      <c r="G9" s="21">
        <v>5</v>
      </c>
      <c r="H9" s="19">
        <f t="shared" si="2"/>
        <v>0</v>
      </c>
      <c r="I9" s="19">
        <v>0</v>
      </c>
      <c r="J9" s="19">
        <v>0</v>
      </c>
      <c r="K9" s="19">
        <f t="shared" si="3"/>
        <v>0</v>
      </c>
      <c r="L9" s="19">
        <f t="shared" si="4"/>
        <v>5</v>
      </c>
      <c r="M9" s="19">
        <f t="shared" si="5"/>
        <v>5</v>
      </c>
      <c r="N9" s="19">
        <f t="shared" si="6"/>
        <v>0</v>
      </c>
      <c r="O9" s="22"/>
      <c r="P9" s="22"/>
      <c r="Q9" s="25">
        <v>4</v>
      </c>
      <c r="R9" s="19">
        <v>2</v>
      </c>
      <c r="S9" s="19">
        <v>1</v>
      </c>
      <c r="T9" s="19">
        <v>0</v>
      </c>
      <c r="U9" s="19">
        <v>0</v>
      </c>
      <c r="V9" s="19">
        <v>2</v>
      </c>
      <c r="W9" s="19">
        <v>2</v>
      </c>
      <c r="X9" s="19">
        <v>1</v>
      </c>
      <c r="Y9" s="19">
        <v>3</v>
      </c>
      <c r="Z9" s="19">
        <v>0</v>
      </c>
      <c r="AA9" s="26"/>
    </row>
    <row r="10" spans="1:27" s="8" customFormat="1" ht="17" customHeight="1">
      <c r="A10" s="23" t="s">
        <v>33</v>
      </c>
      <c r="B10" s="19">
        <v>5</v>
      </c>
      <c r="C10" s="19">
        <v>2</v>
      </c>
      <c r="D10" s="24">
        <v>3</v>
      </c>
      <c r="E10" s="19">
        <f t="shared" si="1"/>
        <v>1</v>
      </c>
      <c r="F10" s="19">
        <v>7</v>
      </c>
      <c r="G10" s="21">
        <v>7</v>
      </c>
      <c r="H10" s="19">
        <f t="shared" si="2"/>
        <v>0</v>
      </c>
      <c r="I10" s="19">
        <v>2</v>
      </c>
      <c r="J10" s="19">
        <v>2</v>
      </c>
      <c r="K10" s="19">
        <f t="shared" si="3"/>
        <v>0</v>
      </c>
      <c r="L10" s="19">
        <f t="shared" si="4"/>
        <v>5</v>
      </c>
      <c r="M10" s="19">
        <f t="shared" si="5"/>
        <v>5</v>
      </c>
      <c r="N10" s="19">
        <f t="shared" si="6"/>
        <v>0</v>
      </c>
      <c r="O10" s="22"/>
      <c r="P10" s="22"/>
      <c r="Q10" s="25">
        <v>1</v>
      </c>
      <c r="R10" s="19">
        <v>1</v>
      </c>
      <c r="S10" s="19">
        <v>0</v>
      </c>
      <c r="T10" s="19">
        <v>0</v>
      </c>
      <c r="U10" s="19">
        <v>0</v>
      </c>
      <c r="V10" s="19">
        <v>0</v>
      </c>
      <c r="W10" s="19">
        <v>1</v>
      </c>
      <c r="X10" s="19">
        <v>0</v>
      </c>
      <c r="Y10" s="19">
        <v>1</v>
      </c>
      <c r="Z10" s="19">
        <v>0</v>
      </c>
      <c r="AA10" s="26"/>
    </row>
    <row r="11" spans="1:27" s="8" customFormat="1" ht="17" customHeight="1">
      <c r="A11" s="23" t="s">
        <v>34</v>
      </c>
      <c r="B11" s="19">
        <v>0</v>
      </c>
      <c r="C11" s="19">
        <v>1</v>
      </c>
      <c r="D11" s="24">
        <v>1</v>
      </c>
      <c r="E11" s="19">
        <f t="shared" si="1"/>
        <v>0</v>
      </c>
      <c r="F11" s="19">
        <v>0</v>
      </c>
      <c r="G11" s="21">
        <v>0</v>
      </c>
      <c r="H11" s="19">
        <f t="shared" si="2"/>
        <v>0</v>
      </c>
      <c r="I11" s="19">
        <v>0</v>
      </c>
      <c r="J11" s="19">
        <v>0</v>
      </c>
      <c r="K11" s="19">
        <f t="shared" si="3"/>
        <v>0</v>
      </c>
      <c r="L11" s="19">
        <f t="shared" si="4"/>
        <v>0</v>
      </c>
      <c r="M11" s="19">
        <f t="shared" si="5"/>
        <v>0</v>
      </c>
      <c r="N11" s="19">
        <f t="shared" si="6"/>
        <v>0</v>
      </c>
      <c r="O11" s="27">
        <v>2</v>
      </c>
      <c r="P11" s="22"/>
      <c r="Q11" s="25">
        <v>1</v>
      </c>
      <c r="R11" s="19">
        <v>0</v>
      </c>
      <c r="S11" s="19">
        <v>0</v>
      </c>
      <c r="T11" s="19">
        <v>0</v>
      </c>
      <c r="U11" s="19">
        <v>0</v>
      </c>
      <c r="V11" s="19">
        <v>1</v>
      </c>
      <c r="W11" s="19">
        <v>0</v>
      </c>
      <c r="X11" s="19">
        <v>1</v>
      </c>
      <c r="Y11" s="19">
        <v>0</v>
      </c>
      <c r="Z11" s="19">
        <v>0</v>
      </c>
      <c r="AA11" s="26"/>
    </row>
    <row r="12" spans="1:27" s="8" customFormat="1" ht="17" customHeight="1">
      <c r="A12" s="23" t="s">
        <v>35</v>
      </c>
      <c r="B12" s="19">
        <v>0</v>
      </c>
      <c r="C12" s="19">
        <v>1</v>
      </c>
      <c r="D12" s="24">
        <v>1</v>
      </c>
      <c r="E12" s="19">
        <f t="shared" si="1"/>
        <v>0</v>
      </c>
      <c r="F12" s="19">
        <v>1</v>
      </c>
      <c r="G12" s="21">
        <v>1</v>
      </c>
      <c r="H12" s="19">
        <f t="shared" si="2"/>
        <v>0</v>
      </c>
      <c r="I12" s="19">
        <v>1</v>
      </c>
      <c r="J12" s="19">
        <v>1</v>
      </c>
      <c r="K12" s="19">
        <f t="shared" si="3"/>
        <v>0</v>
      </c>
      <c r="L12" s="19">
        <f t="shared" si="4"/>
        <v>0</v>
      </c>
      <c r="M12" s="19">
        <f t="shared" si="5"/>
        <v>0</v>
      </c>
      <c r="N12" s="19">
        <f t="shared" si="6"/>
        <v>0</v>
      </c>
      <c r="O12" s="22"/>
      <c r="P12" s="22"/>
      <c r="Q12" s="25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26"/>
    </row>
    <row r="13" spans="1:27" s="8" customFormat="1" ht="17" customHeight="1">
      <c r="A13" s="23" t="s">
        <v>36</v>
      </c>
      <c r="B13" s="19">
        <v>0</v>
      </c>
      <c r="C13" s="19">
        <v>4</v>
      </c>
      <c r="D13" s="24">
        <v>4</v>
      </c>
      <c r="E13" s="19">
        <f t="shared" si="1"/>
        <v>0</v>
      </c>
      <c r="F13" s="19">
        <v>2</v>
      </c>
      <c r="G13" s="21">
        <v>3</v>
      </c>
      <c r="H13" s="19">
        <f t="shared" si="2"/>
        <v>1</v>
      </c>
      <c r="I13" s="19">
        <v>1</v>
      </c>
      <c r="J13" s="19">
        <v>1</v>
      </c>
      <c r="K13" s="19">
        <f t="shared" si="3"/>
        <v>0</v>
      </c>
      <c r="L13" s="19">
        <f t="shared" si="4"/>
        <v>1</v>
      </c>
      <c r="M13" s="19">
        <f t="shared" si="5"/>
        <v>2</v>
      </c>
      <c r="N13" s="19">
        <f t="shared" si="6"/>
        <v>1</v>
      </c>
      <c r="O13" s="22"/>
      <c r="P13" s="22"/>
      <c r="Q13" s="25">
        <v>1</v>
      </c>
      <c r="R13" s="19">
        <v>1</v>
      </c>
      <c r="S13" s="19">
        <v>0</v>
      </c>
      <c r="T13" s="19">
        <v>0</v>
      </c>
      <c r="U13" s="19">
        <v>0</v>
      </c>
      <c r="V13" s="19">
        <v>1</v>
      </c>
      <c r="W13" s="19">
        <v>0</v>
      </c>
      <c r="X13" s="19">
        <v>0</v>
      </c>
      <c r="Y13" s="19">
        <v>1</v>
      </c>
      <c r="Z13" s="19">
        <v>0</v>
      </c>
      <c r="AA13" s="26"/>
    </row>
    <row r="14" spans="1:27" s="8" customFormat="1" ht="17" customHeight="1">
      <c r="A14" s="23" t="s">
        <v>37</v>
      </c>
      <c r="B14" s="19">
        <v>1</v>
      </c>
      <c r="C14" s="19">
        <v>3</v>
      </c>
      <c r="D14" s="24">
        <v>3</v>
      </c>
      <c r="E14" s="19">
        <f t="shared" si="1"/>
        <v>0</v>
      </c>
      <c r="F14" s="19">
        <v>3</v>
      </c>
      <c r="G14" s="21">
        <v>4</v>
      </c>
      <c r="H14" s="19">
        <f t="shared" si="2"/>
        <v>1</v>
      </c>
      <c r="I14" s="19">
        <v>0</v>
      </c>
      <c r="J14" s="19">
        <v>0</v>
      </c>
      <c r="K14" s="19">
        <f t="shared" si="3"/>
        <v>0</v>
      </c>
      <c r="L14" s="19">
        <f t="shared" si="4"/>
        <v>3</v>
      </c>
      <c r="M14" s="19">
        <f t="shared" si="5"/>
        <v>4</v>
      </c>
      <c r="N14" s="19">
        <f t="shared" si="6"/>
        <v>1</v>
      </c>
      <c r="O14" s="22"/>
      <c r="P14" s="22"/>
      <c r="Q14" s="25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26"/>
    </row>
    <row r="15" spans="1:27" s="8" customFormat="1" ht="17" customHeight="1">
      <c r="A15" s="23" t="s">
        <v>38</v>
      </c>
      <c r="B15" s="19">
        <v>0</v>
      </c>
      <c r="C15" s="19">
        <v>2</v>
      </c>
      <c r="D15" s="24">
        <v>3</v>
      </c>
      <c r="E15" s="19">
        <f t="shared" si="1"/>
        <v>1</v>
      </c>
      <c r="F15" s="19">
        <v>1</v>
      </c>
      <c r="G15" s="21">
        <v>1</v>
      </c>
      <c r="H15" s="19">
        <f t="shared" si="2"/>
        <v>0</v>
      </c>
      <c r="I15" s="19">
        <v>1</v>
      </c>
      <c r="J15" s="19">
        <v>1</v>
      </c>
      <c r="K15" s="19">
        <f t="shared" si="3"/>
        <v>0</v>
      </c>
      <c r="L15" s="19">
        <f t="shared" si="4"/>
        <v>0</v>
      </c>
      <c r="M15" s="19">
        <f t="shared" si="5"/>
        <v>0</v>
      </c>
      <c r="N15" s="19">
        <f t="shared" si="6"/>
        <v>0</v>
      </c>
      <c r="O15" s="22"/>
      <c r="P15" s="22"/>
      <c r="Q15" s="25">
        <v>2</v>
      </c>
      <c r="R15" s="19">
        <v>0</v>
      </c>
      <c r="S15" s="19">
        <v>1</v>
      </c>
      <c r="T15" s="19">
        <v>0</v>
      </c>
      <c r="U15" s="19">
        <v>0</v>
      </c>
      <c r="V15" s="19">
        <v>1</v>
      </c>
      <c r="W15" s="19">
        <v>1</v>
      </c>
      <c r="X15" s="19">
        <v>0</v>
      </c>
      <c r="Y15" s="19">
        <v>1</v>
      </c>
      <c r="Z15" s="19">
        <v>1</v>
      </c>
      <c r="AA15" s="26"/>
    </row>
    <row r="16" spans="1:27" s="8" customFormat="1" ht="17" customHeight="1">
      <c r="A16" s="23" t="s">
        <v>39</v>
      </c>
      <c r="B16" s="19">
        <v>2</v>
      </c>
      <c r="C16" s="19">
        <v>3</v>
      </c>
      <c r="D16" s="24">
        <v>3</v>
      </c>
      <c r="E16" s="19">
        <f t="shared" si="1"/>
        <v>0</v>
      </c>
      <c r="F16" s="19">
        <v>3</v>
      </c>
      <c r="G16" s="21">
        <v>5</v>
      </c>
      <c r="H16" s="19">
        <f t="shared" si="2"/>
        <v>2</v>
      </c>
      <c r="I16" s="19">
        <v>0</v>
      </c>
      <c r="J16" s="19">
        <v>0</v>
      </c>
      <c r="K16" s="19">
        <f t="shared" si="3"/>
        <v>0</v>
      </c>
      <c r="L16" s="19">
        <f t="shared" si="4"/>
        <v>3</v>
      </c>
      <c r="M16" s="19">
        <f t="shared" si="5"/>
        <v>5</v>
      </c>
      <c r="N16" s="19">
        <f t="shared" si="6"/>
        <v>2</v>
      </c>
      <c r="O16" s="22">
        <v>1</v>
      </c>
      <c r="P16" s="22">
        <v>0</v>
      </c>
      <c r="Q16" s="25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26"/>
    </row>
    <row r="17" spans="1:45" s="8" customFormat="1" ht="17" customHeight="1">
      <c r="A17" s="23" t="s">
        <v>40</v>
      </c>
      <c r="B17" s="19">
        <v>1</v>
      </c>
      <c r="C17" s="19">
        <v>3</v>
      </c>
      <c r="D17" s="24">
        <v>3</v>
      </c>
      <c r="E17" s="19">
        <f t="shared" si="1"/>
        <v>0</v>
      </c>
      <c r="F17" s="19">
        <v>2</v>
      </c>
      <c r="G17" s="21">
        <v>2</v>
      </c>
      <c r="H17" s="19">
        <f t="shared" si="2"/>
        <v>0</v>
      </c>
      <c r="I17" s="19">
        <v>0</v>
      </c>
      <c r="J17" s="19">
        <v>0</v>
      </c>
      <c r="K17" s="19">
        <f t="shared" si="3"/>
        <v>0</v>
      </c>
      <c r="L17" s="19">
        <f t="shared" si="4"/>
        <v>2</v>
      </c>
      <c r="M17" s="19">
        <f t="shared" si="5"/>
        <v>2</v>
      </c>
      <c r="N17" s="19">
        <f t="shared" si="6"/>
        <v>0</v>
      </c>
      <c r="O17" s="22"/>
      <c r="P17" s="22"/>
      <c r="Q17" s="25">
        <v>2</v>
      </c>
      <c r="R17" s="19">
        <v>1</v>
      </c>
      <c r="S17" s="19">
        <v>0</v>
      </c>
      <c r="T17" s="19">
        <v>0</v>
      </c>
      <c r="U17" s="19">
        <v>1</v>
      </c>
      <c r="V17" s="19">
        <v>1</v>
      </c>
      <c r="W17" s="19">
        <v>0</v>
      </c>
      <c r="X17" s="19">
        <v>0</v>
      </c>
      <c r="Y17" s="19">
        <v>1</v>
      </c>
      <c r="Z17" s="19">
        <v>1</v>
      </c>
      <c r="AA17" s="26"/>
    </row>
    <row r="18" spans="1:45" s="8" customFormat="1" ht="17" customHeight="1">
      <c r="A18" s="23" t="s">
        <v>41</v>
      </c>
      <c r="B18" s="19">
        <v>1</v>
      </c>
      <c r="C18" s="19">
        <v>3</v>
      </c>
      <c r="D18" s="24">
        <v>3</v>
      </c>
      <c r="E18" s="19">
        <f t="shared" si="1"/>
        <v>0</v>
      </c>
      <c r="F18" s="19">
        <v>2</v>
      </c>
      <c r="G18" s="21">
        <v>2</v>
      </c>
      <c r="H18" s="19">
        <f t="shared" si="2"/>
        <v>0</v>
      </c>
      <c r="I18" s="19">
        <v>0</v>
      </c>
      <c r="J18" s="19">
        <v>0</v>
      </c>
      <c r="K18" s="19">
        <f t="shared" si="3"/>
        <v>0</v>
      </c>
      <c r="L18" s="19">
        <f t="shared" si="4"/>
        <v>2</v>
      </c>
      <c r="M18" s="19">
        <f t="shared" si="5"/>
        <v>2</v>
      </c>
      <c r="N18" s="19">
        <f t="shared" si="6"/>
        <v>0</v>
      </c>
      <c r="O18" s="22">
        <v>2</v>
      </c>
      <c r="P18" s="22"/>
      <c r="Q18" s="25">
        <v>2</v>
      </c>
      <c r="R18" s="19">
        <v>1</v>
      </c>
      <c r="S18" s="19">
        <v>0</v>
      </c>
      <c r="T18" s="19">
        <v>0</v>
      </c>
      <c r="U18" s="19">
        <v>0</v>
      </c>
      <c r="V18" s="19">
        <v>2</v>
      </c>
      <c r="W18" s="19">
        <v>0</v>
      </c>
      <c r="X18" s="19">
        <v>0</v>
      </c>
      <c r="Y18" s="19">
        <v>2</v>
      </c>
      <c r="Z18" s="19">
        <v>0</v>
      </c>
      <c r="AA18" s="26"/>
    </row>
    <row r="19" spans="1:45" s="8" customFormat="1" ht="17" customHeight="1">
      <c r="A19" s="23" t="s">
        <v>42</v>
      </c>
      <c r="B19" s="19">
        <v>1</v>
      </c>
      <c r="C19" s="19">
        <v>3</v>
      </c>
      <c r="D19" s="24">
        <v>3</v>
      </c>
      <c r="E19" s="19">
        <f t="shared" si="1"/>
        <v>0</v>
      </c>
      <c r="F19" s="19">
        <v>2</v>
      </c>
      <c r="G19" s="21">
        <v>2</v>
      </c>
      <c r="H19" s="19">
        <f t="shared" si="2"/>
        <v>0</v>
      </c>
      <c r="I19" s="19">
        <v>1</v>
      </c>
      <c r="J19" s="19">
        <v>1</v>
      </c>
      <c r="K19" s="19">
        <f t="shared" si="3"/>
        <v>0</v>
      </c>
      <c r="L19" s="19">
        <f t="shared" si="4"/>
        <v>1</v>
      </c>
      <c r="M19" s="19">
        <f t="shared" si="5"/>
        <v>1</v>
      </c>
      <c r="N19" s="19">
        <f t="shared" si="6"/>
        <v>0</v>
      </c>
      <c r="O19" s="22">
        <v>1</v>
      </c>
      <c r="P19" s="22"/>
      <c r="Q19" s="25">
        <v>2</v>
      </c>
      <c r="R19" s="19">
        <v>1</v>
      </c>
      <c r="S19" s="19">
        <v>0</v>
      </c>
      <c r="T19" s="19">
        <v>0</v>
      </c>
      <c r="U19" s="19">
        <v>1</v>
      </c>
      <c r="V19" s="19">
        <v>1</v>
      </c>
      <c r="W19" s="19">
        <v>0</v>
      </c>
      <c r="X19" s="19">
        <v>0</v>
      </c>
      <c r="Y19" s="19">
        <v>1</v>
      </c>
      <c r="Z19" s="4">
        <v>1</v>
      </c>
      <c r="AA19" s="26"/>
    </row>
    <row r="20" spans="1:45" s="8" customFormat="1" ht="17" customHeight="1">
      <c r="A20" s="23" t="s">
        <v>43</v>
      </c>
      <c r="B20" s="19">
        <v>1</v>
      </c>
      <c r="C20" s="19">
        <v>7</v>
      </c>
      <c r="D20" s="24">
        <v>7</v>
      </c>
      <c r="E20" s="19">
        <f t="shared" si="1"/>
        <v>0</v>
      </c>
      <c r="F20" s="19">
        <v>4</v>
      </c>
      <c r="G20" s="21">
        <v>4</v>
      </c>
      <c r="H20" s="19">
        <f t="shared" si="2"/>
        <v>0</v>
      </c>
      <c r="I20" s="19">
        <v>3</v>
      </c>
      <c r="J20" s="19">
        <v>3</v>
      </c>
      <c r="K20" s="19">
        <f t="shared" si="3"/>
        <v>0</v>
      </c>
      <c r="L20" s="19">
        <f t="shared" si="4"/>
        <v>1</v>
      </c>
      <c r="M20" s="19">
        <f t="shared" si="5"/>
        <v>1</v>
      </c>
      <c r="N20" s="19">
        <f t="shared" si="6"/>
        <v>0</v>
      </c>
      <c r="O20" s="22"/>
      <c r="P20" s="22"/>
      <c r="Q20" s="25">
        <v>4</v>
      </c>
      <c r="R20" s="19">
        <v>1</v>
      </c>
      <c r="S20" s="19">
        <v>0</v>
      </c>
      <c r="T20" s="19">
        <v>0</v>
      </c>
      <c r="U20" s="19">
        <v>0</v>
      </c>
      <c r="V20" s="19">
        <v>1</v>
      </c>
      <c r="W20" s="19">
        <v>3</v>
      </c>
      <c r="X20" s="19">
        <v>0</v>
      </c>
      <c r="Y20" s="19">
        <v>2</v>
      </c>
      <c r="Z20" s="19">
        <v>2</v>
      </c>
      <c r="AA20" s="26"/>
    </row>
    <row r="21" spans="1:45" s="8" customFormat="1" ht="17" customHeight="1">
      <c r="A21" s="23" t="s">
        <v>44</v>
      </c>
      <c r="B21" s="19">
        <v>2</v>
      </c>
      <c r="C21" s="19">
        <v>1</v>
      </c>
      <c r="D21" s="24">
        <v>1</v>
      </c>
      <c r="E21" s="19">
        <f t="shared" si="1"/>
        <v>0</v>
      </c>
      <c r="F21" s="19">
        <v>2</v>
      </c>
      <c r="G21" s="21">
        <v>2</v>
      </c>
      <c r="H21" s="19">
        <f t="shared" si="2"/>
        <v>0</v>
      </c>
      <c r="I21" s="19">
        <v>1</v>
      </c>
      <c r="J21" s="19">
        <v>1</v>
      </c>
      <c r="K21" s="19">
        <f t="shared" si="3"/>
        <v>0</v>
      </c>
      <c r="L21" s="19">
        <f t="shared" si="4"/>
        <v>1</v>
      </c>
      <c r="M21" s="19">
        <f t="shared" si="5"/>
        <v>1</v>
      </c>
      <c r="N21" s="19">
        <f t="shared" si="6"/>
        <v>0</v>
      </c>
      <c r="O21" s="22"/>
      <c r="P21" s="22"/>
      <c r="Q21" s="25">
        <v>1</v>
      </c>
      <c r="R21" s="19">
        <v>0</v>
      </c>
      <c r="S21" s="19">
        <v>0</v>
      </c>
      <c r="T21" s="19">
        <v>0</v>
      </c>
      <c r="U21" s="19">
        <v>0</v>
      </c>
      <c r="V21" s="19">
        <v>1</v>
      </c>
      <c r="W21" s="19">
        <v>0</v>
      </c>
      <c r="X21" s="19">
        <v>0</v>
      </c>
      <c r="Y21" s="19">
        <v>1</v>
      </c>
      <c r="Z21" s="19">
        <v>0</v>
      </c>
      <c r="AA21" s="26"/>
    </row>
    <row r="22" spans="1:45" s="8" customFormat="1" ht="17" customHeight="1">
      <c r="A22" s="18" t="s">
        <v>45</v>
      </c>
      <c r="B22" s="19">
        <v>3</v>
      </c>
      <c r="C22" s="19">
        <v>7</v>
      </c>
      <c r="D22" s="24">
        <v>8</v>
      </c>
      <c r="E22" s="19">
        <f t="shared" si="1"/>
        <v>1</v>
      </c>
      <c r="F22" s="19">
        <v>5</v>
      </c>
      <c r="G22" s="21">
        <v>5</v>
      </c>
      <c r="H22" s="19">
        <f t="shared" si="2"/>
        <v>0</v>
      </c>
      <c r="I22" s="4">
        <v>2</v>
      </c>
      <c r="J22" s="4">
        <v>2</v>
      </c>
      <c r="K22" s="19">
        <f t="shared" si="3"/>
        <v>0</v>
      </c>
      <c r="L22" s="19">
        <f t="shared" si="4"/>
        <v>3</v>
      </c>
      <c r="M22" s="19">
        <f t="shared" si="5"/>
        <v>3</v>
      </c>
      <c r="N22" s="19">
        <f t="shared" si="6"/>
        <v>0</v>
      </c>
      <c r="O22" s="22"/>
      <c r="P22" s="22"/>
      <c r="Q22" s="25">
        <v>6</v>
      </c>
      <c r="R22" s="19">
        <v>5</v>
      </c>
      <c r="S22" s="19">
        <v>0</v>
      </c>
      <c r="T22" s="19">
        <v>0</v>
      </c>
      <c r="U22" s="19">
        <v>2</v>
      </c>
      <c r="V22" s="4">
        <v>1</v>
      </c>
      <c r="W22" s="19">
        <v>3</v>
      </c>
      <c r="X22" s="19">
        <v>0</v>
      </c>
      <c r="Y22" s="19">
        <v>5</v>
      </c>
      <c r="Z22" s="4">
        <v>1</v>
      </c>
      <c r="AA22" s="26"/>
    </row>
    <row r="23" spans="1:45" s="8" customFormat="1" ht="17" customHeight="1">
      <c r="A23" s="23" t="s">
        <v>46</v>
      </c>
      <c r="B23" s="19">
        <v>3</v>
      </c>
      <c r="C23" s="19">
        <v>6</v>
      </c>
      <c r="D23" s="24">
        <v>7</v>
      </c>
      <c r="E23" s="19">
        <f t="shared" si="1"/>
        <v>1</v>
      </c>
      <c r="F23" s="19">
        <v>7</v>
      </c>
      <c r="G23" s="21">
        <v>7</v>
      </c>
      <c r="H23" s="19">
        <f t="shared" si="2"/>
        <v>0</v>
      </c>
      <c r="I23" s="19">
        <v>2</v>
      </c>
      <c r="J23" s="19">
        <v>2</v>
      </c>
      <c r="K23" s="19">
        <f t="shared" si="3"/>
        <v>0</v>
      </c>
      <c r="L23" s="19">
        <f t="shared" si="4"/>
        <v>5</v>
      </c>
      <c r="M23" s="19">
        <f t="shared" si="5"/>
        <v>5</v>
      </c>
      <c r="N23" s="19">
        <f t="shared" si="6"/>
        <v>0</v>
      </c>
      <c r="O23" s="27">
        <v>1</v>
      </c>
      <c r="P23" s="22">
        <v>0</v>
      </c>
      <c r="Q23" s="25">
        <v>3</v>
      </c>
      <c r="R23" s="19">
        <v>0</v>
      </c>
      <c r="S23" s="19">
        <v>0</v>
      </c>
      <c r="T23" s="19">
        <v>0</v>
      </c>
      <c r="U23" s="19">
        <v>0</v>
      </c>
      <c r="V23" s="19">
        <v>3</v>
      </c>
      <c r="W23" s="19">
        <v>0</v>
      </c>
      <c r="X23" s="19">
        <v>0</v>
      </c>
      <c r="Y23" s="19">
        <v>2</v>
      </c>
      <c r="Z23" s="4">
        <v>1</v>
      </c>
      <c r="AA23" s="26"/>
    </row>
    <row r="24" spans="1:45" s="8" customFormat="1" ht="17" customHeight="1">
      <c r="A24" s="23" t="s">
        <v>47</v>
      </c>
      <c r="B24" s="19">
        <v>2</v>
      </c>
      <c r="C24" s="19">
        <v>1</v>
      </c>
      <c r="D24" s="24">
        <v>1</v>
      </c>
      <c r="E24" s="19">
        <f t="shared" si="1"/>
        <v>0</v>
      </c>
      <c r="F24" s="19">
        <v>3</v>
      </c>
      <c r="G24" s="21">
        <v>3</v>
      </c>
      <c r="H24" s="19">
        <f t="shared" si="2"/>
        <v>0</v>
      </c>
      <c r="I24" s="19">
        <v>1</v>
      </c>
      <c r="J24" s="19">
        <v>1</v>
      </c>
      <c r="K24" s="19">
        <f t="shared" si="3"/>
        <v>0</v>
      </c>
      <c r="L24" s="19">
        <f t="shared" si="4"/>
        <v>2</v>
      </c>
      <c r="M24" s="19">
        <f t="shared" si="5"/>
        <v>2</v>
      </c>
      <c r="N24" s="19">
        <f t="shared" si="6"/>
        <v>0</v>
      </c>
      <c r="O24" s="22"/>
      <c r="P24" s="22"/>
      <c r="Q24" s="25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26"/>
    </row>
    <row r="25" spans="1:45" s="8" customFormat="1" ht="14">
      <c r="A25" s="23" t="s">
        <v>48</v>
      </c>
      <c r="B25" s="19">
        <v>9</v>
      </c>
      <c r="C25" s="19">
        <v>28</v>
      </c>
      <c r="D25" s="24">
        <v>29</v>
      </c>
      <c r="E25" s="19">
        <f t="shared" si="1"/>
        <v>1</v>
      </c>
      <c r="F25" s="19">
        <v>28</v>
      </c>
      <c r="G25" s="21">
        <v>30</v>
      </c>
      <c r="H25" s="19">
        <f t="shared" si="2"/>
        <v>2</v>
      </c>
      <c r="I25" s="19">
        <v>8</v>
      </c>
      <c r="J25" s="19">
        <v>8</v>
      </c>
      <c r="K25" s="19">
        <f t="shared" si="3"/>
        <v>0</v>
      </c>
      <c r="L25" s="19">
        <f t="shared" si="4"/>
        <v>20</v>
      </c>
      <c r="M25" s="19">
        <f t="shared" si="5"/>
        <v>22</v>
      </c>
      <c r="N25" s="19">
        <f t="shared" si="6"/>
        <v>2</v>
      </c>
      <c r="O25" s="27">
        <v>4</v>
      </c>
      <c r="P25" s="22"/>
      <c r="Q25" s="25">
        <v>8</v>
      </c>
      <c r="R25" s="19">
        <v>2</v>
      </c>
      <c r="S25" s="19">
        <v>1</v>
      </c>
      <c r="T25" s="19"/>
      <c r="U25" s="19">
        <v>1</v>
      </c>
      <c r="V25" s="19">
        <v>2</v>
      </c>
      <c r="W25" s="19">
        <v>5</v>
      </c>
      <c r="X25" s="19">
        <v>0</v>
      </c>
      <c r="Y25" s="19">
        <v>8</v>
      </c>
      <c r="Z25" s="19">
        <v>0</v>
      </c>
      <c r="AA25" s="26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</row>
    <row r="26" spans="1:45" s="8" customFormat="1" ht="14">
      <c r="A26" s="23" t="s">
        <v>49</v>
      </c>
      <c r="B26" s="19">
        <v>3</v>
      </c>
      <c r="C26" s="19">
        <v>15</v>
      </c>
      <c r="D26" s="24">
        <v>15</v>
      </c>
      <c r="E26" s="19">
        <f t="shared" si="1"/>
        <v>0</v>
      </c>
      <c r="F26" s="19">
        <v>10</v>
      </c>
      <c r="G26" s="21">
        <v>11</v>
      </c>
      <c r="H26" s="19">
        <f t="shared" si="2"/>
        <v>1</v>
      </c>
      <c r="I26" s="19">
        <v>5</v>
      </c>
      <c r="J26" s="19">
        <v>5</v>
      </c>
      <c r="K26" s="19">
        <f t="shared" si="3"/>
        <v>0</v>
      </c>
      <c r="L26" s="19">
        <f t="shared" si="4"/>
        <v>5</v>
      </c>
      <c r="M26" s="19">
        <f t="shared" si="5"/>
        <v>6</v>
      </c>
      <c r="N26" s="19">
        <f t="shared" si="6"/>
        <v>1</v>
      </c>
      <c r="O26" s="22">
        <v>1</v>
      </c>
      <c r="P26" s="22"/>
      <c r="Q26" s="25">
        <v>7</v>
      </c>
      <c r="R26" s="19">
        <v>1</v>
      </c>
      <c r="S26" s="19">
        <v>1</v>
      </c>
      <c r="T26" s="19">
        <v>3</v>
      </c>
      <c r="U26" s="19">
        <v>0</v>
      </c>
      <c r="V26" s="19">
        <v>2</v>
      </c>
      <c r="W26" s="19">
        <v>5</v>
      </c>
      <c r="X26" s="19">
        <v>2</v>
      </c>
      <c r="Y26" s="19">
        <v>5</v>
      </c>
      <c r="Z26" s="19">
        <v>0</v>
      </c>
      <c r="AA26" s="26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</row>
    <row r="27" spans="1:45" s="8" customFormat="1" ht="15">
      <c r="A27" s="29" t="s">
        <v>50</v>
      </c>
      <c r="B27" s="19">
        <v>3</v>
      </c>
      <c r="C27" s="19">
        <v>10</v>
      </c>
      <c r="D27" s="24">
        <v>11</v>
      </c>
      <c r="E27" s="19">
        <f t="shared" si="1"/>
        <v>1</v>
      </c>
      <c r="F27" s="19">
        <v>6</v>
      </c>
      <c r="G27" s="21">
        <v>8</v>
      </c>
      <c r="H27" s="19">
        <f t="shared" si="2"/>
        <v>2</v>
      </c>
      <c r="I27" s="19">
        <v>2</v>
      </c>
      <c r="J27" s="19">
        <v>2</v>
      </c>
      <c r="K27" s="19">
        <f t="shared" si="3"/>
        <v>0</v>
      </c>
      <c r="L27" s="19">
        <f t="shared" si="4"/>
        <v>4</v>
      </c>
      <c r="M27" s="19">
        <f t="shared" si="5"/>
        <v>6</v>
      </c>
      <c r="N27" s="19">
        <f t="shared" si="6"/>
        <v>2</v>
      </c>
      <c r="O27" s="22"/>
      <c r="P27" s="22"/>
      <c r="Q27" s="25">
        <v>6</v>
      </c>
      <c r="R27" s="19">
        <v>3</v>
      </c>
      <c r="S27" s="19">
        <v>1</v>
      </c>
      <c r="T27" s="19"/>
      <c r="U27" s="19">
        <v>0</v>
      </c>
      <c r="V27" s="19">
        <v>1</v>
      </c>
      <c r="W27" s="19">
        <v>5</v>
      </c>
      <c r="X27" s="19">
        <v>1</v>
      </c>
      <c r="Y27" s="19">
        <v>1</v>
      </c>
      <c r="Z27" s="19">
        <v>4</v>
      </c>
      <c r="AA27" s="26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</row>
    <row r="28" spans="1:45" ht="20">
      <c r="A28" s="30"/>
      <c r="B28" s="31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45" ht="20">
      <c r="A29" s="30"/>
      <c r="B29" s="31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 t="s">
        <v>51</v>
      </c>
      <c r="P29" s="30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45" ht="20">
      <c r="A30" s="30"/>
      <c r="B30" s="31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45" ht="20">
      <c r="A31" s="33"/>
      <c r="B31" s="34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45" ht="20">
      <c r="A32" s="30"/>
      <c r="B32" s="31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1:27" ht="20">
      <c r="A33" s="30"/>
      <c r="B33" s="31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1:27" ht="20">
      <c r="A34" s="30"/>
      <c r="B34" s="31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1:27" ht="20">
      <c r="A35" s="30"/>
      <c r="B35" s="31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1:27" ht="20">
      <c r="A36" s="30"/>
      <c r="B36" s="31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1:27" ht="20">
      <c r="A37" s="30"/>
      <c r="B37" s="31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</sheetData>
  <mergeCells count="15">
    <mergeCell ref="S2:S3"/>
    <mergeCell ref="T2:T3"/>
    <mergeCell ref="U2:W2"/>
    <mergeCell ref="X2:Z2"/>
    <mergeCell ref="AA2:AA3"/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</mergeCells>
  <pageMargins left="0.59015748031496063" right="0.19645669291338583" top="0.78740157480314954" bottom="0.59015748031496051" header="0.39370078740157477" footer="0.19645669291338583"/>
  <pageSetup paperSize="0" scale="60" fitToWidth="0" fitToHeight="0" orientation="landscape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8602C-015D-7644-9679-853926B74512}">
  <dimension ref="A1:XFD37"/>
  <sheetViews>
    <sheetView workbookViewId="0"/>
  </sheetViews>
  <sheetFormatPr baseColWidth="10" defaultRowHeight="13.75"/>
  <cols>
    <col min="1" max="1" width="21" style="3" customWidth="1"/>
    <col min="2" max="2" width="8.6640625" style="35" customWidth="1"/>
    <col min="3" max="10" width="7" style="3" customWidth="1"/>
    <col min="11" max="11" width="6.33203125" style="3" customWidth="1"/>
    <col min="12" max="12" width="6" style="3" customWidth="1"/>
    <col min="13" max="13" width="6.5546875" style="3" customWidth="1"/>
    <col min="14" max="14" width="7.44140625" style="3" customWidth="1"/>
    <col min="15" max="15" width="7.6640625" style="3" customWidth="1"/>
    <col min="16" max="16" width="7" style="3" customWidth="1"/>
    <col min="17" max="17" width="7" style="35" customWidth="1"/>
    <col min="18" max="18" width="6.33203125" style="35" customWidth="1"/>
    <col min="19" max="19" width="6" style="35" customWidth="1"/>
    <col min="20" max="20" width="5.33203125" style="35" customWidth="1"/>
    <col min="21" max="21" width="6.5546875" style="35" customWidth="1"/>
    <col min="22" max="22" width="7.44140625" style="35" customWidth="1"/>
    <col min="23" max="23" width="6.109375" style="35" customWidth="1"/>
    <col min="24" max="24" width="6.6640625" style="35" customWidth="1"/>
    <col min="25" max="25" width="7.109375" style="35" customWidth="1"/>
    <col min="26" max="26" width="7.44140625" style="35" customWidth="1"/>
    <col min="27" max="27" width="45.33203125" style="35" customWidth="1"/>
    <col min="28" max="28" width="11.33203125" style="3" customWidth="1"/>
    <col min="29" max="29" width="11.44140625" style="3" customWidth="1"/>
    <col min="30" max="30" width="10.109375" style="3" customWidth="1"/>
    <col min="31" max="45" width="7.5546875" style="3" customWidth="1"/>
    <col min="46" max="1022" width="9.44140625" style="3" customWidth="1"/>
  </cols>
  <sheetData>
    <row r="1" spans="1:27" ht="20">
      <c r="A1" s="36" t="s">
        <v>52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1"/>
      <c r="P1" s="1"/>
      <c r="Q1" s="37" t="s">
        <v>1</v>
      </c>
      <c r="R1" s="37"/>
      <c r="S1" s="37"/>
      <c r="T1" s="37"/>
      <c r="U1" s="37"/>
      <c r="V1" s="37"/>
      <c r="W1" s="37"/>
      <c r="X1" s="37"/>
      <c r="Y1" s="37"/>
      <c r="Z1" s="37"/>
      <c r="AA1" s="2"/>
    </row>
    <row r="2" spans="1:27" s="8" customFormat="1" ht="46.5" customHeight="1">
      <c r="A2" s="38"/>
      <c r="B2" s="39" t="s">
        <v>2</v>
      </c>
      <c r="C2" s="40" t="s">
        <v>3</v>
      </c>
      <c r="D2" s="40"/>
      <c r="E2" s="40"/>
      <c r="F2" s="41" t="s">
        <v>4</v>
      </c>
      <c r="G2" s="41"/>
      <c r="H2" s="41"/>
      <c r="I2" s="39" t="s">
        <v>5</v>
      </c>
      <c r="J2" s="39"/>
      <c r="K2" s="39"/>
      <c r="L2" s="39"/>
      <c r="M2" s="39"/>
      <c r="N2" s="39"/>
      <c r="O2" s="42" t="s">
        <v>6</v>
      </c>
      <c r="P2" s="42"/>
      <c r="Q2" s="43" t="s">
        <v>7</v>
      </c>
      <c r="R2" s="39" t="s">
        <v>8</v>
      </c>
      <c r="S2" s="39" t="s">
        <v>9</v>
      </c>
      <c r="T2" s="44" t="s">
        <v>10</v>
      </c>
      <c r="U2" s="39" t="s">
        <v>11</v>
      </c>
      <c r="V2" s="39"/>
      <c r="W2" s="39"/>
      <c r="X2" s="39" t="s">
        <v>12</v>
      </c>
      <c r="Y2" s="39"/>
      <c r="Z2" s="39"/>
      <c r="AA2" s="39" t="s">
        <v>13</v>
      </c>
    </row>
    <row r="3" spans="1:27" s="11" customFormat="1" ht="58.75" customHeight="1">
      <c r="A3" s="38"/>
      <c r="B3" s="39"/>
      <c r="C3" s="5" t="s">
        <v>14</v>
      </c>
      <c r="D3" s="6" t="s">
        <v>7</v>
      </c>
      <c r="E3" s="5" t="s">
        <v>53</v>
      </c>
      <c r="F3" s="5" t="s">
        <v>14</v>
      </c>
      <c r="G3" s="7" t="s">
        <v>7</v>
      </c>
      <c r="H3" s="5" t="s">
        <v>53</v>
      </c>
      <c r="I3" s="5" t="s">
        <v>14</v>
      </c>
      <c r="J3" s="5" t="s">
        <v>16</v>
      </c>
      <c r="K3" s="5" t="s">
        <v>53</v>
      </c>
      <c r="L3" s="5" t="s">
        <v>14</v>
      </c>
      <c r="M3" s="5" t="s">
        <v>17</v>
      </c>
      <c r="N3" s="5" t="s">
        <v>53</v>
      </c>
      <c r="O3" s="9" t="s">
        <v>18</v>
      </c>
      <c r="P3" s="9" t="s">
        <v>19</v>
      </c>
      <c r="Q3" s="43"/>
      <c r="R3" s="39"/>
      <c r="S3" s="39"/>
      <c r="T3" s="44"/>
      <c r="U3" s="10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39"/>
    </row>
    <row r="4" spans="1:27" s="8" customFormat="1" ht="17" customHeight="1">
      <c r="A4" s="12" t="s">
        <v>26</v>
      </c>
      <c r="B4" s="13">
        <f t="shared" ref="B4:Z4" si="0">SUM(B6:B27)</f>
        <v>53</v>
      </c>
      <c r="C4" s="13">
        <f t="shared" si="0"/>
        <v>137</v>
      </c>
      <c r="D4" s="14">
        <f t="shared" si="0"/>
        <v>140</v>
      </c>
      <c r="E4" s="13">
        <f t="shared" si="0"/>
        <v>3</v>
      </c>
      <c r="F4" s="13">
        <f t="shared" si="0"/>
        <v>117</v>
      </c>
      <c r="G4" s="15">
        <f t="shared" si="0"/>
        <v>123</v>
      </c>
      <c r="H4" s="13">
        <f t="shared" si="0"/>
        <v>6</v>
      </c>
      <c r="I4" s="13">
        <f t="shared" si="0"/>
        <v>40</v>
      </c>
      <c r="J4" s="13">
        <f t="shared" si="0"/>
        <v>40</v>
      </c>
      <c r="K4" s="13">
        <f t="shared" si="0"/>
        <v>0</v>
      </c>
      <c r="L4" s="13">
        <f t="shared" si="0"/>
        <v>77</v>
      </c>
      <c r="M4" s="13">
        <f t="shared" si="0"/>
        <v>83</v>
      </c>
      <c r="N4" s="13">
        <f t="shared" si="0"/>
        <v>6</v>
      </c>
      <c r="O4" s="16">
        <f t="shared" si="0"/>
        <v>11</v>
      </c>
      <c r="P4" s="16">
        <f t="shared" si="0"/>
        <v>0</v>
      </c>
      <c r="Q4" s="17">
        <f t="shared" si="0"/>
        <v>70</v>
      </c>
      <c r="R4" s="13">
        <f t="shared" si="0"/>
        <v>27</v>
      </c>
      <c r="S4" s="13">
        <f t="shared" si="0"/>
        <v>6</v>
      </c>
      <c r="T4" s="13">
        <f t="shared" si="0"/>
        <v>10</v>
      </c>
      <c r="U4" s="13">
        <f t="shared" si="0"/>
        <v>9</v>
      </c>
      <c r="V4" s="13">
        <f t="shared" si="0"/>
        <v>29</v>
      </c>
      <c r="W4" s="13">
        <f t="shared" si="0"/>
        <v>32</v>
      </c>
      <c r="X4" s="13">
        <f t="shared" si="0"/>
        <v>7</v>
      </c>
      <c r="Y4" s="13">
        <f t="shared" si="0"/>
        <v>50</v>
      </c>
      <c r="Z4" s="13">
        <f t="shared" si="0"/>
        <v>13</v>
      </c>
      <c r="AA4" s="13" t="s">
        <v>27</v>
      </c>
    </row>
    <row r="5" spans="1:27" s="8" customFormat="1" ht="16.5" customHeight="1">
      <c r="A5" s="18" t="s">
        <v>28</v>
      </c>
      <c r="B5" s="19"/>
      <c r="C5" s="13"/>
      <c r="D5" s="20"/>
      <c r="E5" s="13"/>
      <c r="F5" s="13"/>
      <c r="G5" s="21"/>
      <c r="H5" s="19"/>
      <c r="I5" s="19"/>
      <c r="J5" s="19"/>
      <c r="K5" s="19"/>
      <c r="L5" s="19"/>
      <c r="M5" s="19"/>
      <c r="N5" s="19"/>
      <c r="O5" s="22"/>
      <c r="P5" s="22"/>
      <c r="Q5" s="17"/>
      <c r="R5" s="13"/>
      <c r="S5" s="19"/>
      <c r="T5" s="19"/>
      <c r="U5" s="19"/>
      <c r="V5" s="19"/>
      <c r="W5" s="19"/>
      <c r="X5" s="19"/>
      <c r="Y5" s="19"/>
      <c r="Z5" s="19"/>
      <c r="AA5" s="19"/>
    </row>
    <row r="6" spans="1:27" s="8" customFormat="1" ht="17" customHeight="1">
      <c r="A6" s="23" t="s">
        <v>29</v>
      </c>
      <c r="B6" s="19">
        <v>7</v>
      </c>
      <c r="C6" s="19">
        <v>18</v>
      </c>
      <c r="D6" s="24">
        <v>18</v>
      </c>
      <c r="E6" s="19">
        <f t="shared" ref="E6:E27" si="1">D6-C6</f>
        <v>0</v>
      </c>
      <c r="F6" s="19">
        <v>19</v>
      </c>
      <c r="G6" s="21">
        <v>19</v>
      </c>
      <c r="H6" s="19">
        <f t="shared" ref="H6:H27" si="2">G6-F6</f>
        <v>0</v>
      </c>
      <c r="I6" s="19">
        <v>7</v>
      </c>
      <c r="J6" s="19">
        <v>7</v>
      </c>
      <c r="K6" s="19">
        <f t="shared" ref="K6:K27" si="3">J6-I6</f>
        <v>0</v>
      </c>
      <c r="L6" s="19">
        <f t="shared" ref="L6:L27" si="4">F6-I6</f>
        <v>12</v>
      </c>
      <c r="M6" s="19">
        <f t="shared" ref="M6:M27" si="5">G6-J6</f>
        <v>12</v>
      </c>
      <c r="N6" s="19">
        <f t="shared" ref="N6:N27" si="6">M6-L6</f>
        <v>0</v>
      </c>
      <c r="O6" s="22"/>
      <c r="P6" s="22"/>
      <c r="Q6" s="25">
        <v>6</v>
      </c>
      <c r="R6" s="19">
        <v>2</v>
      </c>
      <c r="S6" s="19">
        <v>0</v>
      </c>
      <c r="T6" s="19">
        <v>2</v>
      </c>
      <c r="U6" s="19">
        <v>3</v>
      </c>
      <c r="V6" s="19">
        <v>3</v>
      </c>
      <c r="W6" s="19">
        <v>0</v>
      </c>
      <c r="X6" s="19">
        <v>0</v>
      </c>
      <c r="Y6" s="19">
        <v>6</v>
      </c>
      <c r="Z6" s="19">
        <v>0</v>
      </c>
      <c r="AA6" s="26"/>
    </row>
    <row r="7" spans="1:27" s="8" customFormat="1" ht="17" customHeight="1">
      <c r="A7" s="23" t="s">
        <v>30</v>
      </c>
      <c r="B7" s="19">
        <v>3</v>
      </c>
      <c r="C7" s="19">
        <v>6</v>
      </c>
      <c r="D7" s="24">
        <v>6</v>
      </c>
      <c r="E7" s="19">
        <f t="shared" si="1"/>
        <v>0</v>
      </c>
      <c r="F7" s="19">
        <v>7</v>
      </c>
      <c r="G7" s="21">
        <v>7</v>
      </c>
      <c r="H7" s="19">
        <f t="shared" si="2"/>
        <v>0</v>
      </c>
      <c r="I7" s="19">
        <v>3</v>
      </c>
      <c r="J7" s="19">
        <v>3</v>
      </c>
      <c r="K7" s="19">
        <f t="shared" si="3"/>
        <v>0</v>
      </c>
      <c r="L7" s="19">
        <f t="shared" si="4"/>
        <v>4</v>
      </c>
      <c r="M7" s="19">
        <f t="shared" si="5"/>
        <v>4</v>
      </c>
      <c r="N7" s="19">
        <f t="shared" si="6"/>
        <v>0</v>
      </c>
      <c r="O7" s="22"/>
      <c r="P7" s="22"/>
      <c r="Q7" s="25">
        <v>2</v>
      </c>
      <c r="R7" s="19">
        <v>1</v>
      </c>
      <c r="S7" s="19">
        <v>0</v>
      </c>
      <c r="T7" s="19">
        <v>1</v>
      </c>
      <c r="U7" s="19">
        <v>0</v>
      </c>
      <c r="V7" s="19">
        <v>1</v>
      </c>
      <c r="W7" s="19">
        <v>1</v>
      </c>
      <c r="X7" s="19">
        <v>0</v>
      </c>
      <c r="Y7" s="19">
        <v>2</v>
      </c>
      <c r="Z7" s="19">
        <v>0</v>
      </c>
      <c r="AA7" s="26"/>
    </row>
    <row r="8" spans="1:27" s="8" customFormat="1" ht="17" customHeight="1">
      <c r="A8" s="23" t="s">
        <v>31</v>
      </c>
      <c r="B8" s="19">
        <v>4</v>
      </c>
      <c r="C8" s="19">
        <v>9</v>
      </c>
      <c r="D8" s="24">
        <v>9</v>
      </c>
      <c r="E8" s="19">
        <f t="shared" si="1"/>
        <v>0</v>
      </c>
      <c r="F8" s="19">
        <v>4</v>
      </c>
      <c r="G8" s="21">
        <v>4</v>
      </c>
      <c r="H8" s="19">
        <f t="shared" si="2"/>
        <v>0</v>
      </c>
      <c r="I8" s="19">
        <v>0</v>
      </c>
      <c r="J8" s="19">
        <v>0</v>
      </c>
      <c r="K8" s="19">
        <f t="shared" si="3"/>
        <v>0</v>
      </c>
      <c r="L8" s="19">
        <f t="shared" si="4"/>
        <v>4</v>
      </c>
      <c r="M8" s="19">
        <f t="shared" si="5"/>
        <v>4</v>
      </c>
      <c r="N8" s="19">
        <f t="shared" si="6"/>
        <v>0</v>
      </c>
      <c r="O8" s="22"/>
      <c r="P8" s="22"/>
      <c r="Q8" s="25">
        <v>9</v>
      </c>
      <c r="R8" s="19">
        <v>3</v>
      </c>
      <c r="S8" s="19">
        <v>0</v>
      </c>
      <c r="T8" s="19">
        <v>2</v>
      </c>
      <c r="U8" s="19">
        <v>1</v>
      </c>
      <c r="V8" s="19">
        <v>4</v>
      </c>
      <c r="W8" s="19">
        <v>4</v>
      </c>
      <c r="X8" s="19">
        <v>1</v>
      </c>
      <c r="Y8" s="19">
        <v>6</v>
      </c>
      <c r="Z8" s="4">
        <v>2</v>
      </c>
      <c r="AA8" s="26"/>
    </row>
    <row r="9" spans="1:27" s="8" customFormat="1" ht="17" customHeight="1">
      <c r="A9" s="23" t="s">
        <v>32</v>
      </c>
      <c r="B9" s="19">
        <v>2</v>
      </c>
      <c r="C9" s="19">
        <v>7</v>
      </c>
      <c r="D9" s="24">
        <v>7</v>
      </c>
      <c r="E9" s="19">
        <f t="shared" si="1"/>
        <v>0</v>
      </c>
      <c r="F9" s="19">
        <v>4</v>
      </c>
      <c r="G9" s="21">
        <v>5</v>
      </c>
      <c r="H9" s="19">
        <f t="shared" si="2"/>
        <v>1</v>
      </c>
      <c r="I9" s="19">
        <v>0</v>
      </c>
      <c r="J9" s="19">
        <v>0</v>
      </c>
      <c r="K9" s="19">
        <f t="shared" si="3"/>
        <v>0</v>
      </c>
      <c r="L9" s="19">
        <f t="shared" si="4"/>
        <v>4</v>
      </c>
      <c r="M9" s="19">
        <f t="shared" si="5"/>
        <v>5</v>
      </c>
      <c r="N9" s="19">
        <f t="shared" si="6"/>
        <v>1</v>
      </c>
      <c r="O9" s="22"/>
      <c r="P9" s="22"/>
      <c r="Q9" s="25">
        <v>4</v>
      </c>
      <c r="R9" s="19">
        <v>2</v>
      </c>
      <c r="S9" s="19">
        <v>1</v>
      </c>
      <c r="T9" s="19">
        <v>0</v>
      </c>
      <c r="U9" s="19">
        <v>0</v>
      </c>
      <c r="V9" s="19">
        <v>2</v>
      </c>
      <c r="W9" s="19">
        <v>2</v>
      </c>
      <c r="X9" s="19">
        <v>1</v>
      </c>
      <c r="Y9" s="19">
        <v>3</v>
      </c>
      <c r="Z9" s="19">
        <v>0</v>
      </c>
      <c r="AA9" s="26"/>
    </row>
    <row r="10" spans="1:27" s="8" customFormat="1" ht="17" customHeight="1">
      <c r="A10" s="23" t="s">
        <v>33</v>
      </c>
      <c r="B10" s="19">
        <v>5</v>
      </c>
      <c r="C10" s="19">
        <v>2</v>
      </c>
      <c r="D10" s="24">
        <v>2</v>
      </c>
      <c r="E10" s="19">
        <f t="shared" si="1"/>
        <v>0</v>
      </c>
      <c r="F10" s="19">
        <v>7</v>
      </c>
      <c r="G10" s="21">
        <v>7</v>
      </c>
      <c r="H10" s="19">
        <f t="shared" si="2"/>
        <v>0</v>
      </c>
      <c r="I10" s="19">
        <v>2</v>
      </c>
      <c r="J10" s="19">
        <v>2</v>
      </c>
      <c r="K10" s="19">
        <f t="shared" si="3"/>
        <v>0</v>
      </c>
      <c r="L10" s="19">
        <f t="shared" si="4"/>
        <v>5</v>
      </c>
      <c r="M10" s="19">
        <f t="shared" si="5"/>
        <v>5</v>
      </c>
      <c r="N10" s="19">
        <f t="shared" si="6"/>
        <v>0</v>
      </c>
      <c r="O10" s="22"/>
      <c r="P10" s="22"/>
      <c r="Q10" s="25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26"/>
    </row>
    <row r="11" spans="1:27" s="8" customFormat="1" ht="17" customHeight="1">
      <c r="A11" s="23" t="s">
        <v>34</v>
      </c>
      <c r="B11" s="19">
        <v>0</v>
      </c>
      <c r="C11" s="19">
        <v>0</v>
      </c>
      <c r="D11" s="24">
        <v>1</v>
      </c>
      <c r="E11" s="19">
        <f t="shared" si="1"/>
        <v>1</v>
      </c>
      <c r="F11" s="19">
        <v>0</v>
      </c>
      <c r="G11" s="21">
        <v>0</v>
      </c>
      <c r="H11" s="19">
        <f t="shared" si="2"/>
        <v>0</v>
      </c>
      <c r="I11" s="19">
        <v>0</v>
      </c>
      <c r="J11" s="19">
        <v>0</v>
      </c>
      <c r="K11" s="19">
        <f t="shared" si="3"/>
        <v>0</v>
      </c>
      <c r="L11" s="19">
        <f t="shared" si="4"/>
        <v>0</v>
      </c>
      <c r="M11" s="19">
        <f t="shared" si="5"/>
        <v>0</v>
      </c>
      <c r="N11" s="19">
        <f t="shared" si="6"/>
        <v>0</v>
      </c>
      <c r="O11" s="27">
        <v>2</v>
      </c>
      <c r="P11" s="22"/>
      <c r="Q11" s="25">
        <v>1</v>
      </c>
      <c r="R11" s="19">
        <v>0</v>
      </c>
      <c r="S11" s="19">
        <v>0</v>
      </c>
      <c r="T11" s="19">
        <v>0</v>
      </c>
      <c r="U11" s="19">
        <v>0</v>
      </c>
      <c r="V11" s="19">
        <v>1</v>
      </c>
      <c r="W11" s="19">
        <v>0</v>
      </c>
      <c r="X11" s="19">
        <v>1</v>
      </c>
      <c r="Y11" s="19">
        <v>0</v>
      </c>
      <c r="Z11" s="19">
        <v>0</v>
      </c>
      <c r="AA11" s="26"/>
    </row>
    <row r="12" spans="1:27" s="8" customFormat="1" ht="17" customHeight="1">
      <c r="A12" s="23" t="s">
        <v>35</v>
      </c>
      <c r="B12" s="19">
        <v>0</v>
      </c>
      <c r="C12" s="19">
        <v>1</v>
      </c>
      <c r="D12" s="24">
        <v>1</v>
      </c>
      <c r="E12" s="19">
        <f t="shared" si="1"/>
        <v>0</v>
      </c>
      <c r="F12" s="19">
        <v>1</v>
      </c>
      <c r="G12" s="21">
        <v>1</v>
      </c>
      <c r="H12" s="19">
        <f t="shared" si="2"/>
        <v>0</v>
      </c>
      <c r="I12" s="19">
        <v>1</v>
      </c>
      <c r="J12" s="19">
        <v>1</v>
      </c>
      <c r="K12" s="19">
        <f t="shared" si="3"/>
        <v>0</v>
      </c>
      <c r="L12" s="19">
        <f t="shared" si="4"/>
        <v>0</v>
      </c>
      <c r="M12" s="19">
        <f t="shared" si="5"/>
        <v>0</v>
      </c>
      <c r="N12" s="19">
        <f t="shared" si="6"/>
        <v>0</v>
      </c>
      <c r="O12" s="22"/>
      <c r="P12" s="22"/>
      <c r="Q12" s="25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26"/>
    </row>
    <row r="13" spans="1:27" s="8" customFormat="1" ht="17" customHeight="1">
      <c r="A13" s="23" t="s">
        <v>36</v>
      </c>
      <c r="B13" s="19">
        <v>0</v>
      </c>
      <c r="C13" s="19">
        <v>4</v>
      </c>
      <c r="D13" s="24">
        <v>4</v>
      </c>
      <c r="E13" s="19">
        <f t="shared" si="1"/>
        <v>0</v>
      </c>
      <c r="F13" s="19">
        <v>2</v>
      </c>
      <c r="G13" s="21">
        <v>2</v>
      </c>
      <c r="H13" s="19">
        <f t="shared" si="2"/>
        <v>0</v>
      </c>
      <c r="I13" s="19">
        <v>1</v>
      </c>
      <c r="J13" s="19">
        <v>1</v>
      </c>
      <c r="K13" s="19">
        <f t="shared" si="3"/>
        <v>0</v>
      </c>
      <c r="L13" s="19">
        <f t="shared" si="4"/>
        <v>1</v>
      </c>
      <c r="M13" s="19">
        <f t="shared" si="5"/>
        <v>1</v>
      </c>
      <c r="N13" s="19">
        <f t="shared" si="6"/>
        <v>0</v>
      </c>
      <c r="O13" s="22"/>
      <c r="P13" s="22"/>
      <c r="Q13" s="25">
        <v>2</v>
      </c>
      <c r="R13" s="19">
        <v>2</v>
      </c>
      <c r="S13" s="19">
        <v>0</v>
      </c>
      <c r="T13" s="19">
        <v>0</v>
      </c>
      <c r="U13" s="19">
        <v>0</v>
      </c>
      <c r="V13" s="19">
        <v>2</v>
      </c>
      <c r="W13" s="19">
        <v>0</v>
      </c>
      <c r="X13" s="19">
        <v>0</v>
      </c>
      <c r="Y13" s="19">
        <v>1</v>
      </c>
      <c r="Z13" s="19">
        <v>1</v>
      </c>
      <c r="AA13" s="26"/>
    </row>
    <row r="14" spans="1:27" s="8" customFormat="1" ht="17" customHeight="1">
      <c r="A14" s="23" t="s">
        <v>37</v>
      </c>
      <c r="B14" s="19">
        <v>1</v>
      </c>
      <c r="C14" s="19">
        <v>3</v>
      </c>
      <c r="D14" s="24">
        <v>3</v>
      </c>
      <c r="E14" s="19">
        <f t="shared" si="1"/>
        <v>0</v>
      </c>
      <c r="F14" s="19">
        <v>2</v>
      </c>
      <c r="G14" s="21">
        <v>3</v>
      </c>
      <c r="H14" s="19">
        <f t="shared" si="2"/>
        <v>1</v>
      </c>
      <c r="I14" s="19">
        <v>0</v>
      </c>
      <c r="J14" s="19">
        <v>0</v>
      </c>
      <c r="K14" s="19">
        <f t="shared" si="3"/>
        <v>0</v>
      </c>
      <c r="L14" s="19">
        <f t="shared" si="4"/>
        <v>2</v>
      </c>
      <c r="M14" s="19">
        <f t="shared" si="5"/>
        <v>3</v>
      </c>
      <c r="N14" s="19">
        <f t="shared" si="6"/>
        <v>1</v>
      </c>
      <c r="O14" s="22"/>
      <c r="P14" s="22"/>
      <c r="Q14" s="25">
        <v>1</v>
      </c>
      <c r="R14" s="19">
        <v>0</v>
      </c>
      <c r="S14" s="19">
        <v>0</v>
      </c>
      <c r="T14" s="19">
        <v>1</v>
      </c>
      <c r="U14" s="19">
        <v>0</v>
      </c>
      <c r="V14" s="19">
        <v>1</v>
      </c>
      <c r="W14" s="19">
        <v>0</v>
      </c>
      <c r="X14" s="19">
        <v>0</v>
      </c>
      <c r="Y14" s="19">
        <v>1</v>
      </c>
      <c r="Z14" s="19">
        <v>0</v>
      </c>
      <c r="AA14" s="26"/>
    </row>
    <row r="15" spans="1:27" s="8" customFormat="1" ht="17" customHeight="1">
      <c r="A15" s="23" t="s">
        <v>38</v>
      </c>
      <c r="B15" s="19">
        <v>0</v>
      </c>
      <c r="C15" s="19">
        <v>2</v>
      </c>
      <c r="D15" s="24">
        <v>2</v>
      </c>
      <c r="E15" s="19">
        <f t="shared" si="1"/>
        <v>0</v>
      </c>
      <c r="F15" s="19">
        <v>1</v>
      </c>
      <c r="G15" s="21">
        <v>1</v>
      </c>
      <c r="H15" s="19">
        <f t="shared" si="2"/>
        <v>0</v>
      </c>
      <c r="I15" s="19">
        <v>1</v>
      </c>
      <c r="J15" s="19">
        <v>1</v>
      </c>
      <c r="K15" s="19">
        <f t="shared" si="3"/>
        <v>0</v>
      </c>
      <c r="L15" s="19">
        <f t="shared" si="4"/>
        <v>0</v>
      </c>
      <c r="M15" s="19">
        <f t="shared" si="5"/>
        <v>0</v>
      </c>
      <c r="N15" s="19">
        <f t="shared" si="6"/>
        <v>0</v>
      </c>
      <c r="O15" s="22"/>
      <c r="P15" s="22"/>
      <c r="Q15" s="25">
        <v>1</v>
      </c>
      <c r="R15" s="19">
        <v>0</v>
      </c>
      <c r="S15" s="19">
        <v>1</v>
      </c>
      <c r="T15" s="19">
        <v>0</v>
      </c>
      <c r="U15" s="19">
        <v>0</v>
      </c>
      <c r="V15" s="19">
        <v>1</v>
      </c>
      <c r="W15" s="19">
        <v>0</v>
      </c>
      <c r="X15" s="19">
        <v>0</v>
      </c>
      <c r="Y15" s="19">
        <v>1</v>
      </c>
      <c r="Z15" s="19">
        <v>0</v>
      </c>
      <c r="AA15" s="26"/>
    </row>
    <row r="16" spans="1:27" s="8" customFormat="1" ht="17" customHeight="1">
      <c r="A16" s="23" t="s">
        <v>39</v>
      </c>
      <c r="B16" s="19">
        <v>2</v>
      </c>
      <c r="C16" s="19">
        <v>3</v>
      </c>
      <c r="D16" s="24">
        <v>3</v>
      </c>
      <c r="E16" s="19">
        <f t="shared" si="1"/>
        <v>0</v>
      </c>
      <c r="F16" s="19">
        <v>3</v>
      </c>
      <c r="G16" s="21">
        <v>3</v>
      </c>
      <c r="H16" s="19">
        <f t="shared" si="2"/>
        <v>0</v>
      </c>
      <c r="I16" s="19">
        <v>0</v>
      </c>
      <c r="J16" s="19">
        <v>0</v>
      </c>
      <c r="K16" s="19">
        <f t="shared" si="3"/>
        <v>0</v>
      </c>
      <c r="L16" s="19">
        <f t="shared" si="4"/>
        <v>3</v>
      </c>
      <c r="M16" s="19">
        <f t="shared" si="5"/>
        <v>3</v>
      </c>
      <c r="N16" s="19">
        <f t="shared" si="6"/>
        <v>0</v>
      </c>
      <c r="O16" s="22">
        <v>1</v>
      </c>
      <c r="P16" s="22"/>
      <c r="Q16" s="25">
        <v>2</v>
      </c>
      <c r="R16" s="19">
        <v>1</v>
      </c>
      <c r="S16" s="19">
        <v>0</v>
      </c>
      <c r="T16" s="19">
        <v>1</v>
      </c>
      <c r="U16" s="19">
        <v>0</v>
      </c>
      <c r="V16" s="19">
        <v>0</v>
      </c>
      <c r="W16" s="19">
        <v>2</v>
      </c>
      <c r="X16" s="19">
        <v>0</v>
      </c>
      <c r="Y16" s="19">
        <v>2</v>
      </c>
      <c r="Z16" s="19">
        <v>0</v>
      </c>
      <c r="AA16" s="26"/>
    </row>
    <row r="17" spans="1:45" s="8" customFormat="1" ht="17" customHeight="1">
      <c r="A17" s="23" t="s">
        <v>40</v>
      </c>
      <c r="B17" s="19">
        <v>1</v>
      </c>
      <c r="C17" s="19">
        <v>3</v>
      </c>
      <c r="D17" s="24">
        <v>3</v>
      </c>
      <c r="E17" s="19">
        <f t="shared" si="1"/>
        <v>0</v>
      </c>
      <c r="F17" s="19">
        <v>1</v>
      </c>
      <c r="G17" s="21">
        <v>2</v>
      </c>
      <c r="H17" s="19">
        <f t="shared" si="2"/>
        <v>1</v>
      </c>
      <c r="I17" s="19">
        <v>0</v>
      </c>
      <c r="J17" s="19">
        <v>0</v>
      </c>
      <c r="K17" s="19">
        <f t="shared" si="3"/>
        <v>0</v>
      </c>
      <c r="L17" s="19">
        <f t="shared" si="4"/>
        <v>1</v>
      </c>
      <c r="M17" s="19">
        <f t="shared" si="5"/>
        <v>2</v>
      </c>
      <c r="N17" s="19">
        <f t="shared" si="6"/>
        <v>1</v>
      </c>
      <c r="O17" s="22"/>
      <c r="P17" s="22"/>
      <c r="Q17" s="25">
        <v>2</v>
      </c>
      <c r="R17" s="19">
        <v>1</v>
      </c>
      <c r="S17" s="19">
        <v>0</v>
      </c>
      <c r="T17" s="19">
        <v>0</v>
      </c>
      <c r="U17" s="19">
        <v>1</v>
      </c>
      <c r="V17" s="19">
        <v>1</v>
      </c>
      <c r="W17" s="19">
        <v>0</v>
      </c>
      <c r="X17" s="19">
        <v>0</v>
      </c>
      <c r="Y17" s="19">
        <v>1</v>
      </c>
      <c r="Z17" s="19">
        <v>1</v>
      </c>
      <c r="AA17" s="26"/>
    </row>
    <row r="18" spans="1:45" s="8" customFormat="1" ht="17" customHeight="1">
      <c r="A18" s="23" t="s">
        <v>41</v>
      </c>
      <c r="B18" s="19">
        <v>1</v>
      </c>
      <c r="C18" s="19">
        <v>3</v>
      </c>
      <c r="D18" s="24">
        <v>3</v>
      </c>
      <c r="E18" s="19">
        <f t="shared" si="1"/>
        <v>0</v>
      </c>
      <c r="F18" s="19">
        <v>1</v>
      </c>
      <c r="G18" s="21">
        <v>2</v>
      </c>
      <c r="H18" s="19">
        <f t="shared" si="2"/>
        <v>1</v>
      </c>
      <c r="I18" s="19">
        <v>0</v>
      </c>
      <c r="J18" s="19">
        <v>0</v>
      </c>
      <c r="K18" s="19">
        <f t="shared" si="3"/>
        <v>0</v>
      </c>
      <c r="L18" s="19">
        <f t="shared" si="4"/>
        <v>1</v>
      </c>
      <c r="M18" s="19">
        <f t="shared" si="5"/>
        <v>2</v>
      </c>
      <c r="N18" s="19">
        <f t="shared" si="6"/>
        <v>1</v>
      </c>
      <c r="O18" s="22">
        <v>2</v>
      </c>
      <c r="P18" s="22"/>
      <c r="Q18" s="25">
        <v>2</v>
      </c>
      <c r="R18" s="19">
        <v>1</v>
      </c>
      <c r="S18" s="19">
        <v>0</v>
      </c>
      <c r="T18" s="19">
        <v>0</v>
      </c>
      <c r="U18" s="19">
        <v>0</v>
      </c>
      <c r="V18" s="19">
        <v>2</v>
      </c>
      <c r="W18" s="19">
        <v>0</v>
      </c>
      <c r="X18" s="19">
        <v>0</v>
      </c>
      <c r="Y18" s="19">
        <v>2</v>
      </c>
      <c r="Z18" s="19">
        <v>0</v>
      </c>
      <c r="AA18" s="26"/>
    </row>
    <row r="19" spans="1:45" s="8" customFormat="1" ht="17" customHeight="1">
      <c r="A19" s="23" t="s">
        <v>42</v>
      </c>
      <c r="B19" s="19">
        <v>1</v>
      </c>
      <c r="C19" s="19">
        <v>3</v>
      </c>
      <c r="D19" s="24">
        <v>3</v>
      </c>
      <c r="E19" s="19">
        <f t="shared" si="1"/>
        <v>0</v>
      </c>
      <c r="F19" s="19">
        <v>2</v>
      </c>
      <c r="G19" s="21">
        <v>2</v>
      </c>
      <c r="H19" s="19">
        <f t="shared" si="2"/>
        <v>0</v>
      </c>
      <c r="I19" s="19">
        <v>1</v>
      </c>
      <c r="J19" s="19">
        <v>1</v>
      </c>
      <c r="K19" s="19">
        <f t="shared" si="3"/>
        <v>0</v>
      </c>
      <c r="L19" s="19">
        <f t="shared" si="4"/>
        <v>1</v>
      </c>
      <c r="M19" s="19">
        <f t="shared" si="5"/>
        <v>1</v>
      </c>
      <c r="N19" s="19">
        <f t="shared" si="6"/>
        <v>0</v>
      </c>
      <c r="O19" s="22"/>
      <c r="P19" s="22"/>
      <c r="Q19" s="25">
        <v>2</v>
      </c>
      <c r="R19" s="19">
        <v>1</v>
      </c>
      <c r="S19" s="19">
        <v>0</v>
      </c>
      <c r="T19" s="19">
        <v>0</v>
      </c>
      <c r="U19" s="19">
        <v>1</v>
      </c>
      <c r="V19" s="19">
        <v>1</v>
      </c>
      <c r="W19" s="19">
        <v>0</v>
      </c>
      <c r="X19" s="19">
        <v>0</v>
      </c>
      <c r="Y19" s="19">
        <v>1</v>
      </c>
      <c r="Z19" s="4">
        <v>1</v>
      </c>
      <c r="AA19" s="26"/>
    </row>
    <row r="20" spans="1:45" s="8" customFormat="1" ht="17" customHeight="1">
      <c r="A20" s="23" t="s">
        <v>43</v>
      </c>
      <c r="B20" s="19">
        <v>1</v>
      </c>
      <c r="C20" s="19">
        <v>7</v>
      </c>
      <c r="D20" s="24">
        <v>7</v>
      </c>
      <c r="E20" s="19">
        <f t="shared" si="1"/>
        <v>0</v>
      </c>
      <c r="F20" s="19">
        <v>4</v>
      </c>
      <c r="G20" s="21">
        <v>4</v>
      </c>
      <c r="H20" s="19">
        <f t="shared" si="2"/>
        <v>0</v>
      </c>
      <c r="I20" s="19">
        <v>3</v>
      </c>
      <c r="J20" s="19">
        <v>3</v>
      </c>
      <c r="K20" s="19">
        <f t="shared" si="3"/>
        <v>0</v>
      </c>
      <c r="L20" s="19">
        <f t="shared" si="4"/>
        <v>1</v>
      </c>
      <c r="M20" s="19">
        <f t="shared" si="5"/>
        <v>1</v>
      </c>
      <c r="N20" s="19">
        <f t="shared" si="6"/>
        <v>0</v>
      </c>
      <c r="O20" s="22"/>
      <c r="P20" s="22"/>
      <c r="Q20" s="25">
        <v>4</v>
      </c>
      <c r="R20" s="19">
        <v>1</v>
      </c>
      <c r="S20" s="19">
        <v>0</v>
      </c>
      <c r="T20" s="19">
        <v>0</v>
      </c>
      <c r="U20" s="19">
        <v>0</v>
      </c>
      <c r="V20" s="19">
        <v>1</v>
      </c>
      <c r="W20" s="19">
        <v>3</v>
      </c>
      <c r="X20" s="19">
        <v>0</v>
      </c>
      <c r="Y20" s="19">
        <v>2</v>
      </c>
      <c r="Z20" s="19">
        <v>2</v>
      </c>
      <c r="AA20" s="26"/>
    </row>
    <row r="21" spans="1:45" s="8" customFormat="1" ht="17" customHeight="1">
      <c r="A21" s="23" t="s">
        <v>44</v>
      </c>
      <c r="B21" s="19">
        <v>2</v>
      </c>
      <c r="C21" s="19">
        <v>1</v>
      </c>
      <c r="D21" s="24">
        <v>1</v>
      </c>
      <c r="E21" s="19">
        <f t="shared" si="1"/>
        <v>0</v>
      </c>
      <c r="F21" s="19">
        <v>2</v>
      </c>
      <c r="G21" s="21">
        <v>2</v>
      </c>
      <c r="H21" s="19">
        <f t="shared" si="2"/>
        <v>0</v>
      </c>
      <c r="I21" s="19">
        <v>1</v>
      </c>
      <c r="J21" s="19">
        <v>1</v>
      </c>
      <c r="K21" s="19">
        <f t="shared" si="3"/>
        <v>0</v>
      </c>
      <c r="L21" s="19">
        <f t="shared" si="4"/>
        <v>1</v>
      </c>
      <c r="M21" s="19">
        <f t="shared" si="5"/>
        <v>1</v>
      </c>
      <c r="N21" s="19">
        <f t="shared" si="6"/>
        <v>0</v>
      </c>
      <c r="O21" s="22"/>
      <c r="P21" s="22"/>
      <c r="Q21" s="25">
        <v>1</v>
      </c>
      <c r="R21" s="19">
        <v>0</v>
      </c>
      <c r="S21" s="19">
        <v>0</v>
      </c>
      <c r="T21" s="19">
        <v>0</v>
      </c>
      <c r="U21" s="19">
        <v>0</v>
      </c>
      <c r="V21" s="19">
        <v>1</v>
      </c>
      <c r="W21" s="19">
        <v>0</v>
      </c>
      <c r="X21" s="19">
        <v>0</v>
      </c>
      <c r="Y21" s="19">
        <v>1</v>
      </c>
      <c r="Z21" s="19">
        <v>0</v>
      </c>
      <c r="AA21" s="26"/>
    </row>
    <row r="22" spans="1:45" s="8" customFormat="1" ht="17" customHeight="1">
      <c r="A22" s="18" t="s">
        <v>45</v>
      </c>
      <c r="B22" s="19">
        <v>3</v>
      </c>
      <c r="C22" s="19">
        <v>7</v>
      </c>
      <c r="D22" s="24">
        <v>7</v>
      </c>
      <c r="E22" s="19">
        <f t="shared" si="1"/>
        <v>0</v>
      </c>
      <c r="F22" s="19">
        <v>5</v>
      </c>
      <c r="G22" s="21">
        <v>5</v>
      </c>
      <c r="H22" s="19">
        <f t="shared" si="2"/>
        <v>0</v>
      </c>
      <c r="I22" s="4">
        <v>2</v>
      </c>
      <c r="J22" s="4">
        <v>2</v>
      </c>
      <c r="K22" s="19">
        <f t="shared" si="3"/>
        <v>0</v>
      </c>
      <c r="L22" s="19">
        <f t="shared" si="4"/>
        <v>3</v>
      </c>
      <c r="M22" s="19">
        <f t="shared" si="5"/>
        <v>3</v>
      </c>
      <c r="N22" s="19">
        <f t="shared" si="6"/>
        <v>0</v>
      </c>
      <c r="O22" s="22"/>
      <c r="P22" s="22"/>
      <c r="Q22" s="25">
        <v>5</v>
      </c>
      <c r="R22" s="19">
        <v>4</v>
      </c>
      <c r="S22" s="19">
        <v>0</v>
      </c>
      <c r="T22" s="19">
        <v>0</v>
      </c>
      <c r="U22" s="19">
        <v>1</v>
      </c>
      <c r="V22" s="4">
        <v>1</v>
      </c>
      <c r="W22" s="19">
        <v>3</v>
      </c>
      <c r="X22" s="19">
        <v>0</v>
      </c>
      <c r="Y22" s="19">
        <v>4</v>
      </c>
      <c r="Z22" s="4">
        <v>1</v>
      </c>
      <c r="AA22" s="26"/>
    </row>
    <row r="23" spans="1:45" s="8" customFormat="1" ht="17" customHeight="1">
      <c r="A23" s="23" t="s">
        <v>46</v>
      </c>
      <c r="B23" s="19">
        <v>3</v>
      </c>
      <c r="C23" s="19">
        <v>6</v>
      </c>
      <c r="D23" s="24">
        <v>6</v>
      </c>
      <c r="E23" s="19">
        <f t="shared" si="1"/>
        <v>0</v>
      </c>
      <c r="F23" s="19">
        <v>7</v>
      </c>
      <c r="G23" s="21">
        <v>7</v>
      </c>
      <c r="H23" s="19">
        <f t="shared" si="2"/>
        <v>0</v>
      </c>
      <c r="I23" s="19">
        <v>2</v>
      </c>
      <c r="J23" s="19">
        <v>2</v>
      </c>
      <c r="K23" s="19">
        <f t="shared" si="3"/>
        <v>0</v>
      </c>
      <c r="L23" s="19">
        <f t="shared" si="4"/>
        <v>5</v>
      </c>
      <c r="M23" s="19">
        <f t="shared" si="5"/>
        <v>5</v>
      </c>
      <c r="N23" s="19">
        <f t="shared" si="6"/>
        <v>0</v>
      </c>
      <c r="O23" s="27">
        <v>1</v>
      </c>
      <c r="P23" s="22">
        <v>0</v>
      </c>
      <c r="Q23" s="25">
        <v>2</v>
      </c>
      <c r="R23" s="19">
        <v>0</v>
      </c>
      <c r="S23" s="19">
        <v>0</v>
      </c>
      <c r="T23" s="19">
        <v>0</v>
      </c>
      <c r="U23" s="19">
        <v>0</v>
      </c>
      <c r="V23" s="19">
        <v>2</v>
      </c>
      <c r="W23" s="19">
        <v>0</v>
      </c>
      <c r="X23" s="19">
        <v>0</v>
      </c>
      <c r="Y23" s="19">
        <v>1</v>
      </c>
      <c r="Z23" s="4">
        <v>1</v>
      </c>
      <c r="AA23" s="26"/>
    </row>
    <row r="24" spans="1:45" s="8" customFormat="1" ht="17" customHeight="1">
      <c r="A24" s="23" t="s">
        <v>47</v>
      </c>
      <c r="B24" s="19">
        <v>2</v>
      </c>
      <c r="C24" s="19">
        <v>1</v>
      </c>
      <c r="D24" s="24">
        <v>1</v>
      </c>
      <c r="E24" s="19">
        <f t="shared" si="1"/>
        <v>0</v>
      </c>
      <c r="F24" s="19">
        <v>3</v>
      </c>
      <c r="G24" s="21">
        <v>3</v>
      </c>
      <c r="H24" s="19">
        <f t="shared" si="2"/>
        <v>0</v>
      </c>
      <c r="I24" s="19">
        <v>1</v>
      </c>
      <c r="J24" s="19">
        <v>1</v>
      </c>
      <c r="K24" s="19">
        <f t="shared" si="3"/>
        <v>0</v>
      </c>
      <c r="L24" s="19">
        <f t="shared" si="4"/>
        <v>2</v>
      </c>
      <c r="M24" s="19">
        <f t="shared" si="5"/>
        <v>2</v>
      </c>
      <c r="N24" s="19">
        <f t="shared" si="6"/>
        <v>0</v>
      </c>
      <c r="O24" s="22"/>
      <c r="P24" s="22"/>
      <c r="Q24" s="25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26"/>
    </row>
    <row r="25" spans="1:45" s="8" customFormat="1" ht="14">
      <c r="A25" s="23" t="s">
        <v>48</v>
      </c>
      <c r="B25" s="19">
        <v>9</v>
      </c>
      <c r="C25" s="19">
        <v>26</v>
      </c>
      <c r="D25" s="24">
        <v>28</v>
      </c>
      <c r="E25" s="19">
        <f t="shared" si="1"/>
        <v>2</v>
      </c>
      <c r="F25" s="19">
        <v>26</v>
      </c>
      <c r="G25" s="21">
        <v>28</v>
      </c>
      <c r="H25" s="19">
        <f t="shared" si="2"/>
        <v>2</v>
      </c>
      <c r="I25" s="19">
        <v>8</v>
      </c>
      <c r="J25" s="19">
        <v>8</v>
      </c>
      <c r="K25" s="19">
        <f t="shared" si="3"/>
        <v>0</v>
      </c>
      <c r="L25" s="19">
        <f t="shared" si="4"/>
        <v>18</v>
      </c>
      <c r="M25" s="19">
        <f t="shared" si="5"/>
        <v>20</v>
      </c>
      <c r="N25" s="19">
        <f t="shared" si="6"/>
        <v>2</v>
      </c>
      <c r="O25" s="27">
        <v>4</v>
      </c>
      <c r="P25" s="22"/>
      <c r="Q25" s="25">
        <v>9</v>
      </c>
      <c r="R25" s="19">
        <v>3</v>
      </c>
      <c r="S25" s="19">
        <v>1</v>
      </c>
      <c r="T25" s="19">
        <v>0</v>
      </c>
      <c r="U25" s="19">
        <v>1</v>
      </c>
      <c r="V25" s="19">
        <v>2</v>
      </c>
      <c r="W25" s="19">
        <v>6</v>
      </c>
      <c r="X25" s="19">
        <v>0</v>
      </c>
      <c r="Y25" s="19">
        <v>9</v>
      </c>
      <c r="Z25" s="19">
        <v>0</v>
      </c>
      <c r="AA25" s="26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</row>
    <row r="26" spans="1:45" s="8" customFormat="1" ht="14">
      <c r="A26" s="23" t="s">
        <v>49</v>
      </c>
      <c r="B26" s="19">
        <v>3</v>
      </c>
      <c r="C26" s="19">
        <v>15</v>
      </c>
      <c r="D26" s="24">
        <v>15</v>
      </c>
      <c r="E26" s="19">
        <f t="shared" si="1"/>
        <v>0</v>
      </c>
      <c r="F26" s="19">
        <v>10</v>
      </c>
      <c r="G26" s="21">
        <v>10</v>
      </c>
      <c r="H26" s="19">
        <f t="shared" si="2"/>
        <v>0</v>
      </c>
      <c r="I26" s="19">
        <v>5</v>
      </c>
      <c r="J26" s="19">
        <v>5</v>
      </c>
      <c r="K26" s="19">
        <f t="shared" si="3"/>
        <v>0</v>
      </c>
      <c r="L26" s="19">
        <f t="shared" si="4"/>
        <v>5</v>
      </c>
      <c r="M26" s="19">
        <f t="shared" si="5"/>
        <v>5</v>
      </c>
      <c r="N26" s="19">
        <f t="shared" si="6"/>
        <v>0</v>
      </c>
      <c r="O26" s="22">
        <v>1</v>
      </c>
      <c r="P26" s="22"/>
      <c r="Q26" s="25">
        <v>8</v>
      </c>
      <c r="R26" s="19">
        <v>1</v>
      </c>
      <c r="S26" s="19">
        <v>2</v>
      </c>
      <c r="T26" s="19">
        <v>3</v>
      </c>
      <c r="U26" s="19">
        <v>1</v>
      </c>
      <c r="V26" s="19">
        <v>2</v>
      </c>
      <c r="W26" s="19">
        <v>5</v>
      </c>
      <c r="X26" s="19">
        <v>2</v>
      </c>
      <c r="Y26" s="19">
        <v>5</v>
      </c>
      <c r="Z26" s="19">
        <v>1</v>
      </c>
      <c r="AA26" s="26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</row>
    <row r="27" spans="1:45" s="8" customFormat="1" ht="15">
      <c r="A27" s="29" t="s">
        <v>50</v>
      </c>
      <c r="B27" s="19">
        <v>3</v>
      </c>
      <c r="C27" s="19">
        <v>10</v>
      </c>
      <c r="D27" s="24">
        <v>10</v>
      </c>
      <c r="E27" s="19">
        <f t="shared" si="1"/>
        <v>0</v>
      </c>
      <c r="F27" s="19">
        <v>6</v>
      </c>
      <c r="G27" s="21">
        <v>6</v>
      </c>
      <c r="H27" s="19">
        <f t="shared" si="2"/>
        <v>0</v>
      </c>
      <c r="I27" s="19">
        <v>2</v>
      </c>
      <c r="J27" s="19">
        <v>2</v>
      </c>
      <c r="K27" s="19">
        <f t="shared" si="3"/>
        <v>0</v>
      </c>
      <c r="L27" s="19">
        <f t="shared" si="4"/>
        <v>4</v>
      </c>
      <c r="M27" s="19">
        <f t="shared" si="5"/>
        <v>4</v>
      </c>
      <c r="N27" s="19">
        <f t="shared" si="6"/>
        <v>0</v>
      </c>
      <c r="O27" s="22"/>
      <c r="P27" s="22"/>
      <c r="Q27" s="25">
        <v>7</v>
      </c>
      <c r="R27" s="19">
        <v>4</v>
      </c>
      <c r="S27" s="19">
        <v>1</v>
      </c>
      <c r="T27" s="19">
        <v>0</v>
      </c>
      <c r="U27" s="19">
        <v>0</v>
      </c>
      <c r="V27" s="19">
        <v>1</v>
      </c>
      <c r="W27" s="19">
        <v>6</v>
      </c>
      <c r="X27" s="19">
        <v>2</v>
      </c>
      <c r="Y27" s="19">
        <v>2</v>
      </c>
      <c r="Z27" s="19">
        <v>3</v>
      </c>
      <c r="AA27" s="26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</row>
    <row r="28" spans="1:45" ht="20">
      <c r="A28" s="30"/>
      <c r="B28" s="31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45" ht="20">
      <c r="A29" s="30"/>
      <c r="B29" s="31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 t="s">
        <v>51</v>
      </c>
      <c r="P29" s="30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45" ht="20">
      <c r="A30" s="30"/>
      <c r="B30" s="31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45" ht="20">
      <c r="A31" s="33"/>
      <c r="B31" s="34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45" ht="20">
      <c r="A32" s="30"/>
      <c r="B32" s="31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1:27" ht="20">
      <c r="A33" s="30"/>
      <c r="B33" s="31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1:27" ht="20">
      <c r="A34" s="30"/>
      <c r="B34" s="31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1:27" ht="20">
      <c r="A35" s="30"/>
      <c r="B35" s="31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1:27" ht="20">
      <c r="A36" s="30"/>
      <c r="B36" s="31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1:27" ht="20">
      <c r="A37" s="30"/>
      <c r="B37" s="31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</sheetData>
  <mergeCells count="15">
    <mergeCell ref="S2:S3"/>
    <mergeCell ref="T2:T3"/>
    <mergeCell ref="U2:W2"/>
    <mergeCell ref="X2:Z2"/>
    <mergeCell ref="AA2:AA3"/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</mergeCells>
  <pageMargins left="0.59015748031496063" right="0.19645669291338583" top="0.78740157480314954" bottom="0.59015748031496051" header="0.39370078740157477" footer="0.19645669291338583"/>
  <pageSetup paperSize="0" scale="60" fitToWidth="0" fitToHeight="0" orientation="landscape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0D520-554E-784F-B81F-F94173AF6595}">
  <dimension ref="A1:XFD37"/>
  <sheetViews>
    <sheetView workbookViewId="0"/>
  </sheetViews>
  <sheetFormatPr baseColWidth="10" defaultRowHeight="13.75"/>
  <cols>
    <col min="1" max="1" width="21" style="3" customWidth="1"/>
    <col min="2" max="2" width="8.6640625" style="35" customWidth="1"/>
    <col min="3" max="10" width="7" style="3" customWidth="1"/>
    <col min="11" max="11" width="6.33203125" style="3" customWidth="1"/>
    <col min="12" max="12" width="6" style="3" customWidth="1"/>
    <col min="13" max="13" width="6.5546875" style="3" customWidth="1"/>
    <col min="14" max="14" width="7.44140625" style="3" customWidth="1"/>
    <col min="15" max="15" width="7.6640625" style="3" customWidth="1"/>
    <col min="16" max="16" width="7" style="3" customWidth="1"/>
    <col min="17" max="17" width="7" style="35" customWidth="1"/>
    <col min="18" max="18" width="6.33203125" style="35" customWidth="1"/>
    <col min="19" max="19" width="6" style="35" customWidth="1"/>
    <col min="20" max="20" width="5.33203125" style="35" customWidth="1"/>
    <col min="21" max="21" width="6.5546875" style="35" customWidth="1"/>
    <col min="22" max="22" width="7.44140625" style="35" customWidth="1"/>
    <col min="23" max="23" width="6.109375" style="35" customWidth="1"/>
    <col min="24" max="24" width="6.6640625" style="35" customWidth="1"/>
    <col min="25" max="25" width="7.109375" style="35" customWidth="1"/>
    <col min="26" max="26" width="7.44140625" style="35" customWidth="1"/>
    <col min="27" max="27" width="45.33203125" style="35" customWidth="1"/>
    <col min="28" max="28" width="11.33203125" style="3" customWidth="1"/>
    <col min="29" max="29" width="7.5546875" style="3" customWidth="1"/>
    <col min="30" max="30" width="10.109375" style="3" customWidth="1"/>
    <col min="31" max="45" width="7.5546875" style="3" customWidth="1"/>
    <col min="46" max="1022" width="9.44140625" style="3" customWidth="1"/>
  </cols>
  <sheetData>
    <row r="1" spans="1:27" ht="20">
      <c r="A1" s="36" t="s">
        <v>54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1"/>
      <c r="P1" s="1"/>
      <c r="Q1" s="37" t="s">
        <v>1</v>
      </c>
      <c r="R1" s="37"/>
      <c r="S1" s="37"/>
      <c r="T1" s="37"/>
      <c r="U1" s="37"/>
      <c r="V1" s="37"/>
      <c r="W1" s="37"/>
      <c r="X1" s="37"/>
      <c r="Y1" s="37"/>
      <c r="Z1" s="37"/>
      <c r="AA1" s="2"/>
    </row>
    <row r="2" spans="1:27" s="8" customFormat="1" ht="46.5" customHeight="1">
      <c r="A2" s="38"/>
      <c r="B2" s="39" t="s">
        <v>2</v>
      </c>
      <c r="C2" s="40" t="s">
        <v>3</v>
      </c>
      <c r="D2" s="40"/>
      <c r="E2" s="40"/>
      <c r="F2" s="41" t="s">
        <v>4</v>
      </c>
      <c r="G2" s="41"/>
      <c r="H2" s="41"/>
      <c r="I2" s="39" t="s">
        <v>5</v>
      </c>
      <c r="J2" s="39"/>
      <c r="K2" s="39"/>
      <c r="L2" s="39"/>
      <c r="M2" s="39"/>
      <c r="N2" s="39"/>
      <c r="O2" s="42" t="s">
        <v>6</v>
      </c>
      <c r="P2" s="42"/>
      <c r="Q2" s="43" t="s">
        <v>7</v>
      </c>
      <c r="R2" s="39" t="s">
        <v>8</v>
      </c>
      <c r="S2" s="39" t="s">
        <v>9</v>
      </c>
      <c r="T2" s="44" t="s">
        <v>10</v>
      </c>
      <c r="U2" s="39" t="s">
        <v>11</v>
      </c>
      <c r="V2" s="39"/>
      <c r="W2" s="39"/>
      <c r="X2" s="39" t="s">
        <v>12</v>
      </c>
      <c r="Y2" s="39"/>
      <c r="Z2" s="39"/>
      <c r="AA2" s="39" t="s">
        <v>13</v>
      </c>
    </row>
    <row r="3" spans="1:27" s="11" customFormat="1" ht="58.75" customHeight="1">
      <c r="A3" s="38"/>
      <c r="B3" s="39"/>
      <c r="C3" s="5" t="s">
        <v>14</v>
      </c>
      <c r="D3" s="6" t="s">
        <v>7</v>
      </c>
      <c r="E3" s="5" t="s">
        <v>53</v>
      </c>
      <c r="F3" s="5" t="s">
        <v>14</v>
      </c>
      <c r="G3" s="7" t="s">
        <v>7</v>
      </c>
      <c r="H3" s="5" t="s">
        <v>53</v>
      </c>
      <c r="I3" s="5" t="s">
        <v>14</v>
      </c>
      <c r="J3" s="5" t="s">
        <v>16</v>
      </c>
      <c r="K3" s="5" t="s">
        <v>53</v>
      </c>
      <c r="L3" s="5" t="s">
        <v>14</v>
      </c>
      <c r="M3" s="5" t="s">
        <v>17</v>
      </c>
      <c r="N3" s="5" t="s">
        <v>53</v>
      </c>
      <c r="O3" s="9" t="s">
        <v>18</v>
      </c>
      <c r="P3" s="9" t="s">
        <v>19</v>
      </c>
      <c r="Q3" s="43"/>
      <c r="R3" s="39"/>
      <c r="S3" s="39"/>
      <c r="T3" s="44"/>
      <c r="U3" s="10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39"/>
    </row>
    <row r="4" spans="1:27" s="8" customFormat="1" ht="17" customHeight="1">
      <c r="A4" s="12" t="s">
        <v>26</v>
      </c>
      <c r="B4" s="13">
        <f t="shared" ref="B4:Z4" si="0">SUM(B6:B27)</f>
        <v>53</v>
      </c>
      <c r="C4" s="13">
        <f t="shared" si="0"/>
        <v>130</v>
      </c>
      <c r="D4" s="14">
        <f t="shared" si="0"/>
        <v>137</v>
      </c>
      <c r="E4" s="13">
        <f t="shared" si="0"/>
        <v>7</v>
      </c>
      <c r="F4" s="13">
        <f t="shared" si="0"/>
        <v>107</v>
      </c>
      <c r="G4" s="15">
        <f t="shared" si="0"/>
        <v>117</v>
      </c>
      <c r="H4" s="13">
        <f t="shared" si="0"/>
        <v>10</v>
      </c>
      <c r="I4" s="13">
        <f t="shared" si="0"/>
        <v>38</v>
      </c>
      <c r="J4" s="13">
        <f t="shared" si="0"/>
        <v>40</v>
      </c>
      <c r="K4" s="13">
        <f t="shared" si="0"/>
        <v>2</v>
      </c>
      <c r="L4" s="13">
        <f t="shared" si="0"/>
        <v>69</v>
      </c>
      <c r="M4" s="13">
        <f t="shared" si="0"/>
        <v>77</v>
      </c>
      <c r="N4" s="13">
        <f t="shared" si="0"/>
        <v>8</v>
      </c>
      <c r="O4" s="16">
        <f t="shared" si="0"/>
        <v>5</v>
      </c>
      <c r="P4" s="16">
        <f t="shared" si="0"/>
        <v>0</v>
      </c>
      <c r="Q4" s="17">
        <f t="shared" si="0"/>
        <v>73</v>
      </c>
      <c r="R4" s="13">
        <f t="shared" si="0"/>
        <v>28</v>
      </c>
      <c r="S4" s="13">
        <f t="shared" si="0"/>
        <v>7</v>
      </c>
      <c r="T4" s="13">
        <f t="shared" si="0"/>
        <v>9</v>
      </c>
      <c r="U4" s="13">
        <f t="shared" si="0"/>
        <v>9</v>
      </c>
      <c r="V4" s="13">
        <f t="shared" si="0"/>
        <v>31</v>
      </c>
      <c r="W4" s="13">
        <f t="shared" si="0"/>
        <v>33</v>
      </c>
      <c r="X4" s="13">
        <f t="shared" si="0"/>
        <v>7</v>
      </c>
      <c r="Y4" s="13">
        <f t="shared" si="0"/>
        <v>51</v>
      </c>
      <c r="Z4" s="13">
        <f t="shared" si="0"/>
        <v>15</v>
      </c>
      <c r="AA4" s="13" t="s">
        <v>27</v>
      </c>
    </row>
    <row r="5" spans="1:27" s="8" customFormat="1" ht="16.5" customHeight="1">
      <c r="A5" s="18" t="s">
        <v>28</v>
      </c>
      <c r="B5" s="19"/>
      <c r="C5" s="13"/>
      <c r="D5" s="20"/>
      <c r="E5" s="13"/>
      <c r="F5" s="13"/>
      <c r="G5" s="21"/>
      <c r="H5" s="19"/>
      <c r="I5" s="19"/>
      <c r="J5" s="19"/>
      <c r="K5" s="19"/>
      <c r="L5" s="19"/>
      <c r="M5" s="19"/>
      <c r="N5" s="19"/>
      <c r="O5" s="22"/>
      <c r="P5" s="22"/>
      <c r="Q5" s="17"/>
      <c r="R5" s="13"/>
      <c r="S5" s="19"/>
      <c r="T5" s="19"/>
      <c r="U5" s="19"/>
      <c r="V5" s="19"/>
      <c r="W5" s="19"/>
      <c r="X5" s="19"/>
      <c r="Y5" s="19"/>
      <c r="Z5" s="19"/>
      <c r="AA5" s="19"/>
    </row>
    <row r="6" spans="1:27" s="8" customFormat="1" ht="17" customHeight="1">
      <c r="A6" s="23" t="s">
        <v>29</v>
      </c>
      <c r="B6" s="19">
        <v>7</v>
      </c>
      <c r="C6" s="19">
        <v>17</v>
      </c>
      <c r="D6" s="24">
        <v>18</v>
      </c>
      <c r="E6" s="19">
        <f t="shared" ref="E6:E27" si="1">D6-C6</f>
        <v>1</v>
      </c>
      <c r="F6" s="19">
        <v>16</v>
      </c>
      <c r="G6" s="21">
        <v>19</v>
      </c>
      <c r="H6" s="19">
        <f t="shared" ref="H6:H27" si="2">G6-F6</f>
        <v>3</v>
      </c>
      <c r="I6" s="19">
        <v>7</v>
      </c>
      <c r="J6" s="19">
        <v>7</v>
      </c>
      <c r="K6" s="19">
        <f t="shared" ref="K6:K27" si="3">J6-I6</f>
        <v>0</v>
      </c>
      <c r="L6" s="19">
        <f t="shared" ref="L6:L27" si="4">F6-I6</f>
        <v>9</v>
      </c>
      <c r="M6" s="19">
        <f t="shared" ref="M6:M27" si="5">G6-J6</f>
        <v>12</v>
      </c>
      <c r="N6" s="19">
        <f t="shared" ref="N6:N27" si="6">M6-L6</f>
        <v>3</v>
      </c>
      <c r="O6" s="22"/>
      <c r="P6" s="22"/>
      <c r="Q6" s="25">
        <v>6</v>
      </c>
      <c r="R6" s="19">
        <v>2</v>
      </c>
      <c r="S6" s="19">
        <v>0</v>
      </c>
      <c r="T6" s="19">
        <v>2</v>
      </c>
      <c r="U6" s="19">
        <v>3</v>
      </c>
      <c r="V6" s="19">
        <v>3</v>
      </c>
      <c r="W6" s="19">
        <v>0</v>
      </c>
      <c r="X6" s="19">
        <v>0</v>
      </c>
      <c r="Y6" s="19">
        <v>6</v>
      </c>
      <c r="Z6" s="19">
        <v>0</v>
      </c>
      <c r="AA6" s="26"/>
    </row>
    <row r="7" spans="1:27" s="8" customFormat="1" ht="17" customHeight="1">
      <c r="A7" s="23" t="s">
        <v>30</v>
      </c>
      <c r="B7" s="19">
        <v>3</v>
      </c>
      <c r="C7" s="19">
        <v>6</v>
      </c>
      <c r="D7" s="24">
        <v>6</v>
      </c>
      <c r="E7" s="19">
        <f t="shared" si="1"/>
        <v>0</v>
      </c>
      <c r="F7" s="19">
        <v>7</v>
      </c>
      <c r="G7" s="21">
        <v>7</v>
      </c>
      <c r="H7" s="19">
        <f t="shared" si="2"/>
        <v>0</v>
      </c>
      <c r="I7" s="19">
        <v>3</v>
      </c>
      <c r="J7" s="19">
        <v>3</v>
      </c>
      <c r="K7" s="19">
        <f t="shared" si="3"/>
        <v>0</v>
      </c>
      <c r="L7" s="19">
        <f t="shared" si="4"/>
        <v>4</v>
      </c>
      <c r="M7" s="19">
        <f t="shared" si="5"/>
        <v>4</v>
      </c>
      <c r="N7" s="19">
        <f t="shared" si="6"/>
        <v>0</v>
      </c>
      <c r="O7" s="22"/>
      <c r="P7" s="22"/>
      <c r="Q7" s="25">
        <v>2</v>
      </c>
      <c r="R7" s="19">
        <v>0</v>
      </c>
      <c r="S7" s="19">
        <v>1</v>
      </c>
      <c r="T7" s="19">
        <v>1</v>
      </c>
      <c r="U7" s="19">
        <v>0</v>
      </c>
      <c r="V7" s="19">
        <v>1</v>
      </c>
      <c r="W7" s="19">
        <v>1</v>
      </c>
      <c r="X7" s="19">
        <v>0</v>
      </c>
      <c r="Y7" s="19">
        <v>2</v>
      </c>
      <c r="Z7" s="19">
        <v>0</v>
      </c>
      <c r="AA7" s="26"/>
    </row>
    <row r="8" spans="1:27" s="8" customFormat="1" ht="17" customHeight="1">
      <c r="A8" s="23" t="s">
        <v>31</v>
      </c>
      <c r="B8" s="19">
        <v>4</v>
      </c>
      <c r="C8" s="19">
        <v>9</v>
      </c>
      <c r="D8" s="24">
        <v>9</v>
      </c>
      <c r="E8" s="19">
        <f t="shared" si="1"/>
        <v>0</v>
      </c>
      <c r="F8" s="19">
        <v>4</v>
      </c>
      <c r="G8" s="21">
        <v>4</v>
      </c>
      <c r="H8" s="19">
        <f t="shared" si="2"/>
        <v>0</v>
      </c>
      <c r="I8" s="19">
        <v>0</v>
      </c>
      <c r="J8" s="19">
        <v>0</v>
      </c>
      <c r="K8" s="19">
        <f t="shared" si="3"/>
        <v>0</v>
      </c>
      <c r="L8" s="19">
        <f t="shared" si="4"/>
        <v>4</v>
      </c>
      <c r="M8" s="19">
        <f t="shared" si="5"/>
        <v>4</v>
      </c>
      <c r="N8" s="19">
        <f t="shared" si="6"/>
        <v>0</v>
      </c>
      <c r="O8" s="22"/>
      <c r="P8" s="22"/>
      <c r="Q8" s="25">
        <v>9</v>
      </c>
      <c r="R8" s="19">
        <v>3</v>
      </c>
      <c r="S8" s="19">
        <v>0</v>
      </c>
      <c r="T8" s="19">
        <v>2</v>
      </c>
      <c r="U8" s="19">
        <v>1</v>
      </c>
      <c r="V8" s="19">
        <v>4</v>
      </c>
      <c r="W8" s="19">
        <v>4</v>
      </c>
      <c r="X8" s="19">
        <v>1</v>
      </c>
      <c r="Y8" s="19">
        <v>6</v>
      </c>
      <c r="Z8" s="4">
        <v>2</v>
      </c>
      <c r="AA8" s="26"/>
    </row>
    <row r="9" spans="1:27" s="8" customFormat="1" ht="17" customHeight="1">
      <c r="A9" s="23" t="s">
        <v>32</v>
      </c>
      <c r="B9" s="19">
        <v>2</v>
      </c>
      <c r="C9" s="19">
        <v>6</v>
      </c>
      <c r="D9" s="24">
        <v>7</v>
      </c>
      <c r="E9" s="19">
        <f t="shared" si="1"/>
        <v>1</v>
      </c>
      <c r="F9" s="19">
        <v>3</v>
      </c>
      <c r="G9" s="21">
        <v>4</v>
      </c>
      <c r="H9" s="19">
        <f t="shared" si="2"/>
        <v>1</v>
      </c>
      <c r="I9" s="19">
        <v>0</v>
      </c>
      <c r="J9" s="19">
        <v>0</v>
      </c>
      <c r="K9" s="19">
        <f t="shared" si="3"/>
        <v>0</v>
      </c>
      <c r="L9" s="19">
        <f t="shared" si="4"/>
        <v>3</v>
      </c>
      <c r="M9" s="19">
        <f t="shared" si="5"/>
        <v>4</v>
      </c>
      <c r="N9" s="19">
        <f t="shared" si="6"/>
        <v>1</v>
      </c>
      <c r="O9" s="22"/>
      <c r="P9" s="22"/>
      <c r="Q9" s="25">
        <v>5</v>
      </c>
      <c r="R9" s="19">
        <v>2</v>
      </c>
      <c r="S9" s="19">
        <v>1</v>
      </c>
      <c r="T9" s="19">
        <v>0</v>
      </c>
      <c r="U9" s="19">
        <v>0</v>
      </c>
      <c r="V9" s="19">
        <v>3</v>
      </c>
      <c r="W9" s="19">
        <v>2</v>
      </c>
      <c r="X9" s="19">
        <v>1</v>
      </c>
      <c r="Y9" s="19">
        <v>4</v>
      </c>
      <c r="Z9" s="19">
        <v>0</v>
      </c>
      <c r="AA9" s="26"/>
    </row>
    <row r="10" spans="1:27" s="8" customFormat="1" ht="17" customHeight="1">
      <c r="A10" s="23" t="s">
        <v>33</v>
      </c>
      <c r="B10" s="19">
        <v>5</v>
      </c>
      <c r="C10" s="19">
        <v>2</v>
      </c>
      <c r="D10" s="24">
        <v>2</v>
      </c>
      <c r="E10" s="19">
        <f t="shared" si="1"/>
        <v>0</v>
      </c>
      <c r="F10" s="19">
        <v>7</v>
      </c>
      <c r="G10" s="21">
        <v>7</v>
      </c>
      <c r="H10" s="19">
        <f t="shared" si="2"/>
        <v>0</v>
      </c>
      <c r="I10" s="19">
        <v>2</v>
      </c>
      <c r="J10" s="19">
        <v>2</v>
      </c>
      <c r="K10" s="19">
        <f t="shared" si="3"/>
        <v>0</v>
      </c>
      <c r="L10" s="19">
        <f t="shared" si="4"/>
        <v>5</v>
      </c>
      <c r="M10" s="19">
        <f t="shared" si="5"/>
        <v>5</v>
      </c>
      <c r="N10" s="19">
        <f t="shared" si="6"/>
        <v>0</v>
      </c>
      <c r="O10" s="22"/>
      <c r="P10" s="22"/>
      <c r="Q10" s="25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26"/>
    </row>
    <row r="11" spans="1:27" s="8" customFormat="1" ht="17" customHeight="1">
      <c r="A11" s="23" t="s">
        <v>34</v>
      </c>
      <c r="B11" s="19">
        <v>0</v>
      </c>
      <c r="C11" s="19">
        <v>0</v>
      </c>
      <c r="D11" s="24">
        <v>0</v>
      </c>
      <c r="E11" s="19">
        <f t="shared" si="1"/>
        <v>0</v>
      </c>
      <c r="F11" s="19">
        <v>0</v>
      </c>
      <c r="G11" s="21">
        <v>0</v>
      </c>
      <c r="H11" s="19">
        <f t="shared" si="2"/>
        <v>0</v>
      </c>
      <c r="I11" s="19">
        <v>0</v>
      </c>
      <c r="J11" s="19">
        <v>0</v>
      </c>
      <c r="K11" s="19">
        <f t="shared" si="3"/>
        <v>0</v>
      </c>
      <c r="L11" s="19">
        <f t="shared" si="4"/>
        <v>0</v>
      </c>
      <c r="M11" s="19">
        <f t="shared" si="5"/>
        <v>0</v>
      </c>
      <c r="N11" s="19">
        <f t="shared" si="6"/>
        <v>0</v>
      </c>
      <c r="O11" s="22"/>
      <c r="P11" s="22"/>
      <c r="Q11" s="25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26"/>
    </row>
    <row r="12" spans="1:27" s="8" customFormat="1" ht="17" customHeight="1">
      <c r="A12" s="23" t="s">
        <v>35</v>
      </c>
      <c r="B12" s="19">
        <v>0</v>
      </c>
      <c r="C12" s="19">
        <v>1</v>
      </c>
      <c r="D12" s="24">
        <v>1</v>
      </c>
      <c r="E12" s="19">
        <f t="shared" si="1"/>
        <v>0</v>
      </c>
      <c r="F12" s="19">
        <v>1</v>
      </c>
      <c r="G12" s="21">
        <v>1</v>
      </c>
      <c r="H12" s="19">
        <f t="shared" si="2"/>
        <v>0</v>
      </c>
      <c r="I12" s="19">
        <v>1</v>
      </c>
      <c r="J12" s="19">
        <v>1</v>
      </c>
      <c r="K12" s="19">
        <f t="shared" si="3"/>
        <v>0</v>
      </c>
      <c r="L12" s="19">
        <f t="shared" si="4"/>
        <v>0</v>
      </c>
      <c r="M12" s="19">
        <f t="shared" si="5"/>
        <v>0</v>
      </c>
      <c r="N12" s="19">
        <f t="shared" si="6"/>
        <v>0</v>
      </c>
      <c r="O12" s="22"/>
      <c r="P12" s="22"/>
      <c r="Q12" s="25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26"/>
    </row>
    <row r="13" spans="1:27" s="8" customFormat="1" ht="17" customHeight="1">
      <c r="A13" s="23" t="s">
        <v>36</v>
      </c>
      <c r="B13" s="19">
        <v>0</v>
      </c>
      <c r="C13" s="19">
        <v>4</v>
      </c>
      <c r="D13" s="24">
        <v>4</v>
      </c>
      <c r="E13" s="19">
        <f t="shared" si="1"/>
        <v>0</v>
      </c>
      <c r="F13" s="19">
        <v>2</v>
      </c>
      <c r="G13" s="21">
        <v>2</v>
      </c>
      <c r="H13" s="19">
        <f t="shared" si="2"/>
        <v>0</v>
      </c>
      <c r="I13" s="19">
        <v>1</v>
      </c>
      <c r="J13" s="19">
        <v>1</v>
      </c>
      <c r="K13" s="19">
        <f t="shared" si="3"/>
        <v>0</v>
      </c>
      <c r="L13" s="19">
        <f t="shared" si="4"/>
        <v>1</v>
      </c>
      <c r="M13" s="19">
        <f t="shared" si="5"/>
        <v>1</v>
      </c>
      <c r="N13" s="19">
        <f t="shared" si="6"/>
        <v>0</v>
      </c>
      <c r="O13" s="22"/>
      <c r="P13" s="22"/>
      <c r="Q13" s="25">
        <v>2</v>
      </c>
      <c r="R13" s="19">
        <v>1</v>
      </c>
      <c r="S13" s="19">
        <v>0</v>
      </c>
      <c r="T13" s="19">
        <v>0</v>
      </c>
      <c r="U13" s="19">
        <v>0</v>
      </c>
      <c r="V13" s="19">
        <v>2</v>
      </c>
      <c r="W13" s="19">
        <v>0</v>
      </c>
      <c r="X13" s="19">
        <v>0</v>
      </c>
      <c r="Y13" s="19">
        <v>1</v>
      </c>
      <c r="Z13" s="19">
        <v>1</v>
      </c>
      <c r="AA13" s="26"/>
    </row>
    <row r="14" spans="1:27" s="8" customFormat="1" ht="17" customHeight="1">
      <c r="A14" s="23" t="s">
        <v>37</v>
      </c>
      <c r="B14" s="19">
        <v>1</v>
      </c>
      <c r="C14" s="19">
        <v>2</v>
      </c>
      <c r="D14" s="24">
        <v>3</v>
      </c>
      <c r="E14" s="19">
        <f t="shared" si="1"/>
        <v>1</v>
      </c>
      <c r="F14" s="19">
        <v>2</v>
      </c>
      <c r="G14" s="21">
        <v>2</v>
      </c>
      <c r="H14" s="19">
        <f t="shared" si="2"/>
        <v>0</v>
      </c>
      <c r="I14" s="19">
        <v>0</v>
      </c>
      <c r="J14" s="19">
        <v>0</v>
      </c>
      <c r="K14" s="19">
        <f t="shared" si="3"/>
        <v>0</v>
      </c>
      <c r="L14" s="19">
        <f t="shared" si="4"/>
        <v>2</v>
      </c>
      <c r="M14" s="19">
        <f t="shared" si="5"/>
        <v>2</v>
      </c>
      <c r="N14" s="19">
        <f t="shared" si="6"/>
        <v>0</v>
      </c>
      <c r="O14" s="22"/>
      <c r="P14" s="22"/>
      <c r="Q14" s="25">
        <v>2</v>
      </c>
      <c r="R14" s="19">
        <v>1</v>
      </c>
      <c r="S14" s="19">
        <v>0</v>
      </c>
      <c r="T14" s="19">
        <v>0</v>
      </c>
      <c r="U14" s="19">
        <v>0</v>
      </c>
      <c r="V14" s="19">
        <v>1</v>
      </c>
      <c r="W14" s="19">
        <v>1</v>
      </c>
      <c r="X14" s="19">
        <v>0</v>
      </c>
      <c r="Y14" s="19">
        <v>1</v>
      </c>
      <c r="Z14" s="19">
        <v>1</v>
      </c>
      <c r="AA14" s="26"/>
    </row>
    <row r="15" spans="1:27" s="8" customFormat="1" ht="17" customHeight="1">
      <c r="A15" s="23" t="s">
        <v>38</v>
      </c>
      <c r="B15" s="19">
        <v>0</v>
      </c>
      <c r="C15" s="19">
        <v>2</v>
      </c>
      <c r="D15" s="24">
        <v>2</v>
      </c>
      <c r="E15" s="19">
        <f t="shared" si="1"/>
        <v>0</v>
      </c>
      <c r="F15" s="19">
        <v>1</v>
      </c>
      <c r="G15" s="21">
        <v>1</v>
      </c>
      <c r="H15" s="19">
        <f t="shared" si="2"/>
        <v>0</v>
      </c>
      <c r="I15" s="19">
        <v>1</v>
      </c>
      <c r="J15" s="19">
        <v>1</v>
      </c>
      <c r="K15" s="19">
        <f t="shared" si="3"/>
        <v>0</v>
      </c>
      <c r="L15" s="19">
        <f t="shared" si="4"/>
        <v>0</v>
      </c>
      <c r="M15" s="19">
        <f t="shared" si="5"/>
        <v>0</v>
      </c>
      <c r="N15" s="19">
        <f t="shared" si="6"/>
        <v>0</v>
      </c>
      <c r="O15" s="22"/>
      <c r="P15" s="22"/>
      <c r="Q15" s="25">
        <v>1</v>
      </c>
      <c r="R15" s="19">
        <v>0</v>
      </c>
      <c r="S15" s="19">
        <v>1</v>
      </c>
      <c r="T15" s="19">
        <v>0</v>
      </c>
      <c r="U15" s="19">
        <v>0</v>
      </c>
      <c r="V15" s="19">
        <v>1</v>
      </c>
      <c r="W15" s="19">
        <v>0</v>
      </c>
      <c r="X15" s="19">
        <v>0</v>
      </c>
      <c r="Y15" s="19">
        <v>1</v>
      </c>
      <c r="Z15" s="19">
        <v>0</v>
      </c>
      <c r="AA15" s="26"/>
    </row>
    <row r="16" spans="1:27" s="8" customFormat="1" ht="17" customHeight="1">
      <c r="A16" s="23" t="s">
        <v>39</v>
      </c>
      <c r="B16" s="19">
        <v>2</v>
      </c>
      <c r="C16" s="19">
        <v>3</v>
      </c>
      <c r="D16" s="24">
        <v>3</v>
      </c>
      <c r="E16" s="19">
        <f t="shared" si="1"/>
        <v>0</v>
      </c>
      <c r="F16" s="19">
        <v>2</v>
      </c>
      <c r="G16" s="21">
        <v>3</v>
      </c>
      <c r="H16" s="19">
        <f t="shared" si="2"/>
        <v>1</v>
      </c>
      <c r="I16" s="19">
        <v>0</v>
      </c>
      <c r="J16" s="19">
        <v>0</v>
      </c>
      <c r="K16" s="19">
        <f t="shared" si="3"/>
        <v>0</v>
      </c>
      <c r="L16" s="19">
        <f t="shared" si="4"/>
        <v>2</v>
      </c>
      <c r="M16" s="19">
        <f t="shared" si="5"/>
        <v>3</v>
      </c>
      <c r="N16" s="19">
        <f t="shared" si="6"/>
        <v>1</v>
      </c>
      <c r="O16" s="22">
        <v>1</v>
      </c>
      <c r="P16" s="22"/>
      <c r="Q16" s="25">
        <v>2</v>
      </c>
      <c r="R16" s="19">
        <v>1</v>
      </c>
      <c r="S16" s="19">
        <v>0</v>
      </c>
      <c r="T16" s="19">
        <v>1</v>
      </c>
      <c r="U16" s="19">
        <v>0</v>
      </c>
      <c r="V16" s="19">
        <v>0</v>
      </c>
      <c r="W16" s="19">
        <v>2</v>
      </c>
      <c r="X16" s="19">
        <v>0</v>
      </c>
      <c r="Y16" s="19">
        <v>2</v>
      </c>
      <c r="Z16" s="19">
        <v>0</v>
      </c>
      <c r="AA16" s="26"/>
    </row>
    <row r="17" spans="1:45" s="8" customFormat="1" ht="17" customHeight="1">
      <c r="A17" s="23" t="s">
        <v>40</v>
      </c>
      <c r="B17" s="19">
        <v>1</v>
      </c>
      <c r="C17" s="19">
        <v>2</v>
      </c>
      <c r="D17" s="24">
        <v>3</v>
      </c>
      <c r="E17" s="19">
        <f t="shared" si="1"/>
        <v>1</v>
      </c>
      <c r="F17" s="19">
        <v>1</v>
      </c>
      <c r="G17" s="21">
        <v>1</v>
      </c>
      <c r="H17" s="19">
        <f t="shared" si="2"/>
        <v>0</v>
      </c>
      <c r="I17" s="19">
        <v>0</v>
      </c>
      <c r="J17" s="19">
        <v>0</v>
      </c>
      <c r="K17" s="19">
        <f t="shared" si="3"/>
        <v>0</v>
      </c>
      <c r="L17" s="19">
        <f t="shared" si="4"/>
        <v>1</v>
      </c>
      <c r="M17" s="19">
        <f t="shared" si="5"/>
        <v>1</v>
      </c>
      <c r="N17" s="19">
        <f t="shared" si="6"/>
        <v>0</v>
      </c>
      <c r="O17" s="22"/>
      <c r="P17" s="22"/>
      <c r="Q17" s="25">
        <v>3</v>
      </c>
      <c r="R17" s="19">
        <v>2</v>
      </c>
      <c r="S17" s="19">
        <v>0</v>
      </c>
      <c r="T17" s="19">
        <v>0</v>
      </c>
      <c r="U17" s="19">
        <v>1</v>
      </c>
      <c r="V17" s="19">
        <v>2</v>
      </c>
      <c r="W17" s="19">
        <v>0</v>
      </c>
      <c r="X17" s="19">
        <v>0</v>
      </c>
      <c r="Y17" s="19">
        <v>2</v>
      </c>
      <c r="Z17" s="19">
        <v>1</v>
      </c>
      <c r="AA17" s="26"/>
    </row>
    <row r="18" spans="1:45" s="8" customFormat="1" ht="17" customHeight="1">
      <c r="A18" s="23" t="s">
        <v>41</v>
      </c>
      <c r="B18" s="19">
        <v>1</v>
      </c>
      <c r="C18" s="19">
        <v>2</v>
      </c>
      <c r="D18" s="24">
        <v>3</v>
      </c>
      <c r="E18" s="19">
        <f t="shared" si="1"/>
        <v>1</v>
      </c>
      <c r="F18" s="19">
        <v>1</v>
      </c>
      <c r="G18" s="21">
        <v>1</v>
      </c>
      <c r="H18" s="19">
        <f t="shared" si="2"/>
        <v>0</v>
      </c>
      <c r="I18" s="19">
        <v>0</v>
      </c>
      <c r="J18" s="19">
        <v>0</v>
      </c>
      <c r="K18" s="19">
        <f t="shared" si="3"/>
        <v>0</v>
      </c>
      <c r="L18" s="19">
        <f t="shared" si="4"/>
        <v>1</v>
      </c>
      <c r="M18" s="19">
        <f t="shared" si="5"/>
        <v>1</v>
      </c>
      <c r="N18" s="19">
        <f t="shared" si="6"/>
        <v>0</v>
      </c>
      <c r="O18" s="22">
        <v>2</v>
      </c>
      <c r="P18" s="22"/>
      <c r="Q18" s="25">
        <v>3</v>
      </c>
      <c r="R18" s="19">
        <v>2</v>
      </c>
      <c r="S18" s="19">
        <v>0</v>
      </c>
      <c r="T18" s="19">
        <v>0</v>
      </c>
      <c r="U18" s="19">
        <v>0</v>
      </c>
      <c r="V18" s="19">
        <v>2</v>
      </c>
      <c r="W18" s="19">
        <v>1</v>
      </c>
      <c r="X18" s="19">
        <v>0</v>
      </c>
      <c r="Y18" s="19">
        <v>3</v>
      </c>
      <c r="Z18" s="19">
        <v>0</v>
      </c>
      <c r="AA18" s="26"/>
    </row>
    <row r="19" spans="1:45" s="8" customFormat="1" ht="17" customHeight="1">
      <c r="A19" s="23" t="s">
        <v>42</v>
      </c>
      <c r="B19" s="19">
        <v>1</v>
      </c>
      <c r="C19" s="19">
        <v>3</v>
      </c>
      <c r="D19" s="24">
        <v>3</v>
      </c>
      <c r="E19" s="19">
        <f t="shared" si="1"/>
        <v>0</v>
      </c>
      <c r="F19" s="19">
        <v>2</v>
      </c>
      <c r="G19" s="21">
        <v>2</v>
      </c>
      <c r="H19" s="19">
        <f t="shared" si="2"/>
        <v>0</v>
      </c>
      <c r="I19" s="19">
        <v>1</v>
      </c>
      <c r="J19" s="19">
        <v>1</v>
      </c>
      <c r="K19" s="19">
        <f t="shared" si="3"/>
        <v>0</v>
      </c>
      <c r="L19" s="19">
        <f t="shared" si="4"/>
        <v>1</v>
      </c>
      <c r="M19" s="19">
        <f t="shared" si="5"/>
        <v>1</v>
      </c>
      <c r="N19" s="19">
        <f t="shared" si="6"/>
        <v>0</v>
      </c>
      <c r="O19" s="22"/>
      <c r="P19" s="22"/>
      <c r="Q19" s="25">
        <v>2</v>
      </c>
      <c r="R19" s="19">
        <v>1</v>
      </c>
      <c r="S19" s="19">
        <v>0</v>
      </c>
      <c r="T19" s="19">
        <v>0</v>
      </c>
      <c r="U19" s="19">
        <v>1</v>
      </c>
      <c r="V19" s="19">
        <v>1</v>
      </c>
      <c r="W19" s="19">
        <v>0</v>
      </c>
      <c r="X19" s="19">
        <v>0</v>
      </c>
      <c r="Y19" s="19">
        <v>1</v>
      </c>
      <c r="Z19" s="4">
        <v>1</v>
      </c>
      <c r="AA19" s="26"/>
    </row>
    <row r="20" spans="1:45" s="8" customFormat="1" ht="17" customHeight="1">
      <c r="A20" s="23" t="s">
        <v>43</v>
      </c>
      <c r="B20" s="19">
        <v>1</v>
      </c>
      <c r="C20" s="19">
        <v>6</v>
      </c>
      <c r="D20" s="24">
        <v>7</v>
      </c>
      <c r="E20" s="19">
        <f t="shared" si="1"/>
        <v>1</v>
      </c>
      <c r="F20" s="19">
        <v>4</v>
      </c>
      <c r="G20" s="21">
        <v>4</v>
      </c>
      <c r="H20" s="19">
        <f t="shared" si="2"/>
        <v>0</v>
      </c>
      <c r="I20" s="19">
        <v>3</v>
      </c>
      <c r="J20" s="19">
        <v>3</v>
      </c>
      <c r="K20" s="19">
        <f t="shared" si="3"/>
        <v>0</v>
      </c>
      <c r="L20" s="19">
        <f t="shared" si="4"/>
        <v>1</v>
      </c>
      <c r="M20" s="19">
        <f t="shared" si="5"/>
        <v>1</v>
      </c>
      <c r="N20" s="19">
        <f t="shared" si="6"/>
        <v>0</v>
      </c>
      <c r="O20" s="22"/>
      <c r="P20" s="22"/>
      <c r="Q20" s="25">
        <v>4</v>
      </c>
      <c r="R20" s="19">
        <v>1</v>
      </c>
      <c r="S20" s="19">
        <v>0</v>
      </c>
      <c r="T20" s="19">
        <v>0</v>
      </c>
      <c r="U20" s="19">
        <v>0</v>
      </c>
      <c r="V20" s="19">
        <v>1</v>
      </c>
      <c r="W20" s="19">
        <v>3</v>
      </c>
      <c r="X20" s="19">
        <v>0</v>
      </c>
      <c r="Y20" s="19">
        <v>2</v>
      </c>
      <c r="Z20" s="19">
        <v>2</v>
      </c>
      <c r="AA20" s="26"/>
    </row>
    <row r="21" spans="1:45" s="8" customFormat="1" ht="17" customHeight="1">
      <c r="A21" s="23" t="s">
        <v>44</v>
      </c>
      <c r="B21" s="19">
        <v>2</v>
      </c>
      <c r="C21" s="19">
        <v>1</v>
      </c>
      <c r="D21" s="24">
        <v>1</v>
      </c>
      <c r="E21" s="19">
        <f t="shared" si="1"/>
        <v>0</v>
      </c>
      <c r="F21" s="19">
        <v>2</v>
      </c>
      <c r="G21" s="21">
        <v>2</v>
      </c>
      <c r="H21" s="19">
        <f t="shared" si="2"/>
        <v>0</v>
      </c>
      <c r="I21" s="19">
        <v>1</v>
      </c>
      <c r="J21" s="19">
        <v>1</v>
      </c>
      <c r="K21" s="19">
        <f t="shared" si="3"/>
        <v>0</v>
      </c>
      <c r="L21" s="19">
        <f t="shared" si="4"/>
        <v>1</v>
      </c>
      <c r="M21" s="19">
        <f t="shared" si="5"/>
        <v>1</v>
      </c>
      <c r="N21" s="19">
        <f t="shared" si="6"/>
        <v>0</v>
      </c>
      <c r="O21" s="22"/>
      <c r="P21" s="22"/>
      <c r="Q21" s="25">
        <v>1</v>
      </c>
      <c r="R21" s="19">
        <v>0</v>
      </c>
      <c r="S21" s="19">
        <v>0</v>
      </c>
      <c r="T21" s="19">
        <v>0</v>
      </c>
      <c r="U21" s="19">
        <v>0</v>
      </c>
      <c r="V21" s="19">
        <v>1</v>
      </c>
      <c r="W21" s="19">
        <v>0</v>
      </c>
      <c r="X21" s="19">
        <v>0</v>
      </c>
      <c r="Y21" s="19">
        <v>1</v>
      </c>
      <c r="Z21" s="19">
        <v>0</v>
      </c>
      <c r="AA21" s="26"/>
    </row>
    <row r="22" spans="1:45" s="8" customFormat="1" ht="17" customHeight="1">
      <c r="A22" s="18" t="s">
        <v>45</v>
      </c>
      <c r="B22" s="19">
        <v>3</v>
      </c>
      <c r="C22" s="19">
        <v>7</v>
      </c>
      <c r="D22" s="24">
        <v>7</v>
      </c>
      <c r="E22" s="19">
        <f t="shared" si="1"/>
        <v>0</v>
      </c>
      <c r="F22" s="19">
        <v>4</v>
      </c>
      <c r="G22" s="21">
        <v>5</v>
      </c>
      <c r="H22" s="19">
        <f t="shared" si="2"/>
        <v>1</v>
      </c>
      <c r="I22" s="4">
        <v>1</v>
      </c>
      <c r="J22" s="4">
        <v>2</v>
      </c>
      <c r="K22" s="19">
        <f t="shared" si="3"/>
        <v>1</v>
      </c>
      <c r="L22" s="19">
        <f t="shared" si="4"/>
        <v>3</v>
      </c>
      <c r="M22" s="19">
        <f t="shared" si="5"/>
        <v>3</v>
      </c>
      <c r="N22" s="19">
        <f t="shared" si="6"/>
        <v>0</v>
      </c>
      <c r="O22" s="22"/>
      <c r="P22" s="22"/>
      <c r="Q22" s="25">
        <v>5</v>
      </c>
      <c r="R22" s="19">
        <v>4</v>
      </c>
      <c r="S22" s="19">
        <v>0</v>
      </c>
      <c r="T22" s="19">
        <v>0</v>
      </c>
      <c r="U22" s="19">
        <v>1</v>
      </c>
      <c r="V22" s="4">
        <v>1</v>
      </c>
      <c r="W22" s="19">
        <v>3</v>
      </c>
      <c r="X22" s="19">
        <v>0</v>
      </c>
      <c r="Y22" s="19">
        <v>4</v>
      </c>
      <c r="Z22" s="4">
        <v>1</v>
      </c>
      <c r="AA22" s="26"/>
    </row>
    <row r="23" spans="1:45" s="8" customFormat="1" ht="17" customHeight="1">
      <c r="A23" s="23" t="s">
        <v>46</v>
      </c>
      <c r="B23" s="19">
        <v>3</v>
      </c>
      <c r="C23" s="19">
        <v>6</v>
      </c>
      <c r="D23" s="24">
        <v>6</v>
      </c>
      <c r="E23" s="19">
        <f t="shared" si="1"/>
        <v>0</v>
      </c>
      <c r="F23" s="19">
        <v>6</v>
      </c>
      <c r="G23" s="21">
        <v>7</v>
      </c>
      <c r="H23" s="19">
        <f t="shared" si="2"/>
        <v>1</v>
      </c>
      <c r="I23" s="19">
        <v>1</v>
      </c>
      <c r="J23" s="19">
        <v>2</v>
      </c>
      <c r="K23" s="19">
        <f t="shared" si="3"/>
        <v>1</v>
      </c>
      <c r="L23" s="19">
        <f t="shared" si="4"/>
        <v>5</v>
      </c>
      <c r="M23" s="19">
        <f t="shared" si="5"/>
        <v>5</v>
      </c>
      <c r="N23" s="19">
        <f t="shared" si="6"/>
        <v>0</v>
      </c>
      <c r="O23" s="22">
        <v>1</v>
      </c>
      <c r="P23" s="22"/>
      <c r="Q23" s="25">
        <v>2</v>
      </c>
      <c r="R23" s="19">
        <v>0</v>
      </c>
      <c r="S23" s="19">
        <v>0</v>
      </c>
      <c r="T23" s="19">
        <v>0</v>
      </c>
      <c r="U23" s="19">
        <v>0</v>
      </c>
      <c r="V23" s="19">
        <v>2</v>
      </c>
      <c r="W23" s="19">
        <v>0</v>
      </c>
      <c r="X23" s="19">
        <v>0</v>
      </c>
      <c r="Y23" s="19">
        <v>1</v>
      </c>
      <c r="Z23" s="4">
        <v>1</v>
      </c>
      <c r="AA23" s="26"/>
    </row>
    <row r="24" spans="1:45" s="8" customFormat="1" ht="17" customHeight="1">
      <c r="A24" s="23" t="s">
        <v>47</v>
      </c>
      <c r="B24" s="19">
        <v>2</v>
      </c>
      <c r="C24" s="19">
        <v>1</v>
      </c>
      <c r="D24" s="24">
        <v>1</v>
      </c>
      <c r="E24" s="19">
        <f t="shared" si="1"/>
        <v>0</v>
      </c>
      <c r="F24" s="19">
        <v>3</v>
      </c>
      <c r="G24" s="21">
        <v>3</v>
      </c>
      <c r="H24" s="19">
        <f t="shared" si="2"/>
        <v>0</v>
      </c>
      <c r="I24" s="19">
        <v>1</v>
      </c>
      <c r="J24" s="19">
        <v>1</v>
      </c>
      <c r="K24" s="19">
        <f t="shared" si="3"/>
        <v>0</v>
      </c>
      <c r="L24" s="19">
        <f t="shared" si="4"/>
        <v>2</v>
      </c>
      <c r="M24" s="19">
        <f t="shared" si="5"/>
        <v>2</v>
      </c>
      <c r="N24" s="19">
        <f t="shared" si="6"/>
        <v>0</v>
      </c>
      <c r="O24" s="22"/>
      <c r="P24" s="22"/>
      <c r="Q24" s="25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26"/>
    </row>
    <row r="25" spans="1:45" s="8" customFormat="1" ht="14">
      <c r="A25" s="23" t="s">
        <v>48</v>
      </c>
      <c r="B25" s="19">
        <v>9</v>
      </c>
      <c r="C25" s="19">
        <v>26</v>
      </c>
      <c r="D25" s="24">
        <v>26</v>
      </c>
      <c r="E25" s="19">
        <f t="shared" si="1"/>
        <v>0</v>
      </c>
      <c r="F25" s="19">
        <v>23</v>
      </c>
      <c r="G25" s="21">
        <v>26</v>
      </c>
      <c r="H25" s="19">
        <f t="shared" si="2"/>
        <v>3</v>
      </c>
      <c r="I25" s="19">
        <v>8</v>
      </c>
      <c r="J25" s="19">
        <v>8</v>
      </c>
      <c r="K25" s="19">
        <f t="shared" si="3"/>
        <v>0</v>
      </c>
      <c r="L25" s="19">
        <f t="shared" si="4"/>
        <v>15</v>
      </c>
      <c r="M25" s="19">
        <f t="shared" si="5"/>
        <v>18</v>
      </c>
      <c r="N25" s="19">
        <f t="shared" si="6"/>
        <v>3</v>
      </c>
      <c r="O25" s="22"/>
      <c r="P25" s="22"/>
      <c r="Q25" s="25">
        <v>9</v>
      </c>
      <c r="R25" s="19">
        <v>3</v>
      </c>
      <c r="S25" s="19">
        <v>1</v>
      </c>
      <c r="T25" s="19">
        <v>0</v>
      </c>
      <c r="U25" s="19">
        <v>1</v>
      </c>
      <c r="V25" s="19">
        <v>3</v>
      </c>
      <c r="W25" s="19">
        <v>5</v>
      </c>
      <c r="X25" s="19">
        <v>1</v>
      </c>
      <c r="Y25" s="19">
        <v>8</v>
      </c>
      <c r="Z25" s="19">
        <v>0</v>
      </c>
      <c r="AA25" s="26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</row>
    <row r="26" spans="1:45" s="8" customFormat="1" ht="14">
      <c r="A26" s="23" t="s">
        <v>49</v>
      </c>
      <c r="B26" s="19">
        <v>3</v>
      </c>
      <c r="C26" s="19">
        <v>14</v>
      </c>
      <c r="D26" s="24">
        <v>15</v>
      </c>
      <c r="E26" s="19">
        <f t="shared" si="1"/>
        <v>1</v>
      </c>
      <c r="F26" s="19">
        <v>10</v>
      </c>
      <c r="G26" s="21">
        <v>10</v>
      </c>
      <c r="H26" s="19">
        <f t="shared" si="2"/>
        <v>0</v>
      </c>
      <c r="I26" s="19">
        <v>5</v>
      </c>
      <c r="J26" s="19">
        <v>5</v>
      </c>
      <c r="K26" s="19">
        <f t="shared" si="3"/>
        <v>0</v>
      </c>
      <c r="L26" s="19">
        <f t="shared" si="4"/>
        <v>5</v>
      </c>
      <c r="M26" s="19">
        <f t="shared" si="5"/>
        <v>5</v>
      </c>
      <c r="N26" s="19">
        <f t="shared" si="6"/>
        <v>0</v>
      </c>
      <c r="O26" s="22">
        <v>1</v>
      </c>
      <c r="P26" s="22"/>
      <c r="Q26" s="25">
        <v>8</v>
      </c>
      <c r="R26" s="19">
        <v>1</v>
      </c>
      <c r="S26" s="19">
        <v>2</v>
      </c>
      <c r="T26" s="19">
        <v>3</v>
      </c>
      <c r="U26" s="19">
        <v>1</v>
      </c>
      <c r="V26" s="19">
        <v>2</v>
      </c>
      <c r="W26" s="19">
        <v>5</v>
      </c>
      <c r="X26" s="19">
        <v>2</v>
      </c>
      <c r="Y26" s="19">
        <v>5</v>
      </c>
      <c r="Z26" s="19">
        <v>1</v>
      </c>
      <c r="AA26" s="26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</row>
    <row r="27" spans="1:45" s="8" customFormat="1" ht="15">
      <c r="A27" s="29" t="s">
        <v>50</v>
      </c>
      <c r="B27" s="19">
        <v>3</v>
      </c>
      <c r="C27" s="19">
        <v>10</v>
      </c>
      <c r="D27" s="24">
        <v>10</v>
      </c>
      <c r="E27" s="19">
        <f t="shared" si="1"/>
        <v>0</v>
      </c>
      <c r="F27" s="19">
        <v>6</v>
      </c>
      <c r="G27" s="21">
        <v>6</v>
      </c>
      <c r="H27" s="19">
        <f t="shared" si="2"/>
        <v>0</v>
      </c>
      <c r="I27" s="19">
        <v>2</v>
      </c>
      <c r="J27" s="19">
        <v>2</v>
      </c>
      <c r="K27" s="19">
        <f t="shared" si="3"/>
        <v>0</v>
      </c>
      <c r="L27" s="19">
        <f t="shared" si="4"/>
        <v>4</v>
      </c>
      <c r="M27" s="19">
        <f t="shared" si="5"/>
        <v>4</v>
      </c>
      <c r="N27" s="19">
        <f t="shared" si="6"/>
        <v>0</v>
      </c>
      <c r="O27" s="22"/>
      <c r="P27" s="22"/>
      <c r="Q27" s="25">
        <v>7</v>
      </c>
      <c r="R27" s="19">
        <v>4</v>
      </c>
      <c r="S27" s="19">
        <v>1</v>
      </c>
      <c r="T27" s="19">
        <v>0</v>
      </c>
      <c r="U27" s="19">
        <v>0</v>
      </c>
      <c r="V27" s="19">
        <v>1</v>
      </c>
      <c r="W27" s="19">
        <v>6</v>
      </c>
      <c r="X27" s="19">
        <v>2</v>
      </c>
      <c r="Y27" s="19">
        <v>1</v>
      </c>
      <c r="Z27" s="19">
        <v>4</v>
      </c>
      <c r="AA27" s="26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</row>
    <row r="28" spans="1:45" ht="20">
      <c r="A28" s="30"/>
      <c r="B28" s="31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45" ht="20">
      <c r="A29" s="30"/>
      <c r="B29" s="31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 t="s">
        <v>55</v>
      </c>
      <c r="P29" s="30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45" ht="20">
      <c r="A30" s="30"/>
      <c r="B30" s="31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45" ht="20">
      <c r="A31" s="33"/>
      <c r="B31" s="34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45" ht="20">
      <c r="A32" s="30"/>
      <c r="B32" s="31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1:27" ht="20">
      <c r="A33" s="30"/>
      <c r="B33" s="31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1:27" ht="20">
      <c r="A34" s="30"/>
      <c r="B34" s="31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1:27" ht="20">
      <c r="A35" s="30"/>
      <c r="B35" s="31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1:27" ht="20">
      <c r="A36" s="30"/>
      <c r="B36" s="31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1:27" ht="20">
      <c r="A37" s="30"/>
      <c r="B37" s="31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</sheetData>
  <mergeCells count="15">
    <mergeCell ref="S2:S3"/>
    <mergeCell ref="T2:T3"/>
    <mergeCell ref="U2:W2"/>
    <mergeCell ref="X2:Z2"/>
    <mergeCell ref="AA2:AA3"/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</mergeCells>
  <pageMargins left="0.59015748031496063" right="0.19645669291338583" top="0.78740157480314954" bottom="0.59015748031496051" header="0.39370078740157477" footer="0.19645669291338583"/>
  <pageSetup paperSize="0" scale="60" fitToWidth="0" fitToHeight="0" orientation="landscape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77468-6AEB-0E44-86EE-BC73B56AB545}">
  <dimension ref="A1:XFD37"/>
  <sheetViews>
    <sheetView workbookViewId="0"/>
  </sheetViews>
  <sheetFormatPr baseColWidth="10" defaultRowHeight="13.75"/>
  <cols>
    <col min="1" max="1" width="21" style="3" customWidth="1"/>
    <col min="2" max="2" width="8.6640625" style="35" customWidth="1"/>
    <col min="3" max="10" width="7" style="3" customWidth="1"/>
    <col min="11" max="11" width="6.33203125" style="3" customWidth="1"/>
    <col min="12" max="12" width="6" style="3" customWidth="1"/>
    <col min="13" max="13" width="6.5546875" style="3" customWidth="1"/>
    <col min="14" max="14" width="7.44140625" style="3" customWidth="1"/>
    <col min="15" max="15" width="7.6640625" style="3" customWidth="1"/>
    <col min="16" max="16" width="7" style="3" customWidth="1"/>
    <col min="17" max="17" width="7" style="35" customWidth="1"/>
    <col min="18" max="18" width="6.33203125" style="35" customWidth="1"/>
    <col min="19" max="19" width="6" style="35" customWidth="1"/>
    <col min="20" max="20" width="5.33203125" style="35" customWidth="1"/>
    <col min="21" max="21" width="6.5546875" style="35" customWidth="1"/>
    <col min="22" max="22" width="7.44140625" style="35" customWidth="1"/>
    <col min="23" max="23" width="6.109375" style="35" customWidth="1"/>
    <col min="24" max="24" width="6.6640625" style="35" customWidth="1"/>
    <col min="25" max="25" width="7.109375" style="35" customWidth="1"/>
    <col min="26" max="26" width="7.44140625" style="35" customWidth="1"/>
    <col min="27" max="27" width="45.33203125" style="35" customWidth="1"/>
    <col min="28" max="28" width="11.33203125" style="3" customWidth="1"/>
    <col min="29" max="29" width="7.5546875" style="3" customWidth="1"/>
    <col min="30" max="30" width="10.109375" style="3" customWidth="1"/>
    <col min="31" max="45" width="7.5546875" style="3" customWidth="1"/>
    <col min="46" max="1022" width="9.44140625" style="3" customWidth="1"/>
  </cols>
  <sheetData>
    <row r="1" spans="1:27" ht="20">
      <c r="A1" s="36" t="s">
        <v>56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1"/>
      <c r="P1" s="1"/>
      <c r="Q1" s="37" t="s">
        <v>1</v>
      </c>
      <c r="R1" s="37"/>
      <c r="S1" s="37"/>
      <c r="T1" s="37"/>
      <c r="U1" s="37"/>
      <c r="V1" s="37"/>
      <c r="W1" s="37"/>
      <c r="X1" s="37"/>
      <c r="Y1" s="37"/>
      <c r="Z1" s="37"/>
      <c r="AA1" s="2"/>
    </row>
    <row r="2" spans="1:27" s="8" customFormat="1" ht="46.5" customHeight="1">
      <c r="A2" s="38"/>
      <c r="B2" s="39" t="s">
        <v>2</v>
      </c>
      <c r="C2" s="40" t="s">
        <v>3</v>
      </c>
      <c r="D2" s="40"/>
      <c r="E2" s="40"/>
      <c r="F2" s="41" t="s">
        <v>4</v>
      </c>
      <c r="G2" s="41"/>
      <c r="H2" s="41"/>
      <c r="I2" s="39" t="s">
        <v>5</v>
      </c>
      <c r="J2" s="39"/>
      <c r="K2" s="39"/>
      <c r="L2" s="39"/>
      <c r="M2" s="39"/>
      <c r="N2" s="39"/>
      <c r="O2" s="42" t="s">
        <v>6</v>
      </c>
      <c r="P2" s="42"/>
      <c r="Q2" s="43" t="s">
        <v>7</v>
      </c>
      <c r="R2" s="39" t="s">
        <v>8</v>
      </c>
      <c r="S2" s="39" t="s">
        <v>9</v>
      </c>
      <c r="T2" s="44" t="s">
        <v>10</v>
      </c>
      <c r="U2" s="39" t="s">
        <v>11</v>
      </c>
      <c r="V2" s="39"/>
      <c r="W2" s="39"/>
      <c r="X2" s="39" t="s">
        <v>12</v>
      </c>
      <c r="Y2" s="39"/>
      <c r="Z2" s="39"/>
      <c r="AA2" s="39" t="s">
        <v>13</v>
      </c>
    </row>
    <row r="3" spans="1:27" s="11" customFormat="1" ht="58.75" customHeight="1">
      <c r="A3" s="38"/>
      <c r="B3" s="39"/>
      <c r="C3" s="5" t="s">
        <v>14</v>
      </c>
      <c r="D3" s="6" t="s">
        <v>7</v>
      </c>
      <c r="E3" s="5" t="s">
        <v>53</v>
      </c>
      <c r="F3" s="5" t="s">
        <v>14</v>
      </c>
      <c r="G3" s="7" t="s">
        <v>7</v>
      </c>
      <c r="H3" s="5" t="s">
        <v>53</v>
      </c>
      <c r="I3" s="5" t="s">
        <v>14</v>
      </c>
      <c r="J3" s="5" t="s">
        <v>16</v>
      </c>
      <c r="K3" s="5" t="s">
        <v>53</v>
      </c>
      <c r="L3" s="5" t="s">
        <v>14</v>
      </c>
      <c r="M3" s="5" t="s">
        <v>17</v>
      </c>
      <c r="N3" s="5" t="s">
        <v>53</v>
      </c>
      <c r="O3" s="9" t="s">
        <v>18</v>
      </c>
      <c r="P3" s="9" t="s">
        <v>19</v>
      </c>
      <c r="Q3" s="43"/>
      <c r="R3" s="39"/>
      <c r="S3" s="39"/>
      <c r="T3" s="44"/>
      <c r="U3" s="10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39"/>
    </row>
    <row r="4" spans="1:27" s="8" customFormat="1" ht="17" customHeight="1">
      <c r="A4" s="12" t="s">
        <v>26</v>
      </c>
      <c r="B4" s="13">
        <f t="shared" ref="B4:Z4" si="0">SUM(B6:B27)</f>
        <v>53</v>
      </c>
      <c r="C4" s="13">
        <f t="shared" si="0"/>
        <v>127</v>
      </c>
      <c r="D4" s="14">
        <f t="shared" si="0"/>
        <v>130</v>
      </c>
      <c r="E4" s="13">
        <f t="shared" si="0"/>
        <v>3</v>
      </c>
      <c r="F4" s="13">
        <f t="shared" si="0"/>
        <v>103</v>
      </c>
      <c r="G4" s="15">
        <f t="shared" si="0"/>
        <v>107</v>
      </c>
      <c r="H4" s="13">
        <f t="shared" si="0"/>
        <v>4</v>
      </c>
      <c r="I4" s="13">
        <f t="shared" si="0"/>
        <v>36</v>
      </c>
      <c r="J4" s="13">
        <f t="shared" si="0"/>
        <v>38</v>
      </c>
      <c r="K4" s="13">
        <f t="shared" si="0"/>
        <v>2</v>
      </c>
      <c r="L4" s="13">
        <f t="shared" si="0"/>
        <v>67</v>
      </c>
      <c r="M4" s="13">
        <f t="shared" si="0"/>
        <v>69</v>
      </c>
      <c r="N4" s="13">
        <f t="shared" si="0"/>
        <v>2</v>
      </c>
      <c r="O4" s="16">
        <f t="shared" si="0"/>
        <v>2</v>
      </c>
      <c r="P4" s="16">
        <f t="shared" si="0"/>
        <v>0</v>
      </c>
      <c r="Q4" s="17">
        <f t="shared" si="0"/>
        <v>76</v>
      </c>
      <c r="R4" s="13">
        <f t="shared" si="0"/>
        <v>27</v>
      </c>
      <c r="S4" s="13">
        <f t="shared" si="0"/>
        <v>10</v>
      </c>
      <c r="T4" s="13">
        <f t="shared" si="0"/>
        <v>10</v>
      </c>
      <c r="U4" s="13">
        <f t="shared" si="0"/>
        <v>11</v>
      </c>
      <c r="V4" s="13">
        <f t="shared" si="0"/>
        <v>30</v>
      </c>
      <c r="W4" s="13">
        <f t="shared" si="0"/>
        <v>35</v>
      </c>
      <c r="X4" s="13">
        <f t="shared" si="0"/>
        <v>7</v>
      </c>
      <c r="Y4" s="13">
        <f t="shared" si="0"/>
        <v>55</v>
      </c>
      <c r="Z4" s="13">
        <f t="shared" si="0"/>
        <v>14</v>
      </c>
      <c r="AA4" s="13" t="s">
        <v>27</v>
      </c>
    </row>
    <row r="5" spans="1:27" s="8" customFormat="1" ht="16.5" customHeight="1">
      <c r="A5" s="18" t="s">
        <v>28</v>
      </c>
      <c r="B5" s="19"/>
      <c r="C5" s="13"/>
      <c r="D5" s="20"/>
      <c r="E5" s="13"/>
      <c r="F5" s="13"/>
      <c r="G5" s="21"/>
      <c r="H5" s="19"/>
      <c r="I5" s="19"/>
      <c r="J5" s="19"/>
      <c r="K5" s="19"/>
      <c r="L5" s="19"/>
      <c r="M5" s="19"/>
      <c r="N5" s="19"/>
      <c r="O5" s="22"/>
      <c r="P5" s="22"/>
      <c r="Q5" s="17"/>
      <c r="R5" s="13"/>
      <c r="S5" s="19"/>
      <c r="T5" s="19"/>
      <c r="U5" s="19"/>
      <c r="V5" s="19"/>
      <c r="W5" s="19"/>
      <c r="X5" s="19"/>
      <c r="Y5" s="19"/>
      <c r="Z5" s="19"/>
      <c r="AA5" s="19"/>
    </row>
    <row r="6" spans="1:27" s="8" customFormat="1" ht="17" customHeight="1">
      <c r="A6" s="23" t="s">
        <v>29</v>
      </c>
      <c r="B6" s="19">
        <v>7</v>
      </c>
      <c r="C6" s="19">
        <v>17</v>
      </c>
      <c r="D6" s="24">
        <v>17</v>
      </c>
      <c r="E6" s="19">
        <f t="shared" ref="E6:E27" si="1">D6-C6</f>
        <v>0</v>
      </c>
      <c r="F6" s="19">
        <v>15</v>
      </c>
      <c r="G6" s="21">
        <v>16</v>
      </c>
      <c r="H6" s="19">
        <f t="shared" ref="H6:H27" si="2">G6-F6</f>
        <v>1</v>
      </c>
      <c r="I6" s="19">
        <v>7</v>
      </c>
      <c r="J6" s="19">
        <v>7</v>
      </c>
      <c r="K6" s="19">
        <f t="shared" ref="K6:K27" si="3">J6-I6</f>
        <v>0</v>
      </c>
      <c r="L6" s="19">
        <f t="shared" ref="L6:L27" si="4">F6-I6</f>
        <v>8</v>
      </c>
      <c r="M6" s="19">
        <f t="shared" ref="M6:M27" si="5">G6-J6</f>
        <v>9</v>
      </c>
      <c r="N6" s="19">
        <f t="shared" ref="N6:N27" si="6">M6-L6</f>
        <v>1</v>
      </c>
      <c r="O6" s="22"/>
      <c r="P6" s="22"/>
      <c r="Q6" s="25">
        <v>8</v>
      </c>
      <c r="R6" s="19">
        <v>1</v>
      </c>
      <c r="S6" s="19">
        <v>2</v>
      </c>
      <c r="T6" s="19">
        <v>2</v>
      </c>
      <c r="U6" s="19">
        <v>3</v>
      </c>
      <c r="V6" s="19">
        <v>4</v>
      </c>
      <c r="W6" s="19">
        <v>1</v>
      </c>
      <c r="X6" s="19">
        <v>0</v>
      </c>
      <c r="Y6" s="19">
        <v>8</v>
      </c>
      <c r="Z6" s="19">
        <v>0</v>
      </c>
      <c r="AA6" s="26"/>
    </row>
    <row r="7" spans="1:27" s="8" customFormat="1" ht="17" customHeight="1">
      <c r="A7" s="23" t="s">
        <v>30</v>
      </c>
      <c r="B7" s="19">
        <v>3</v>
      </c>
      <c r="C7" s="19">
        <v>6</v>
      </c>
      <c r="D7" s="24">
        <v>6</v>
      </c>
      <c r="E7" s="19">
        <f t="shared" si="1"/>
        <v>0</v>
      </c>
      <c r="F7" s="19">
        <v>6</v>
      </c>
      <c r="G7" s="21">
        <v>7</v>
      </c>
      <c r="H7" s="19">
        <f t="shared" si="2"/>
        <v>1</v>
      </c>
      <c r="I7" s="19">
        <v>2</v>
      </c>
      <c r="J7" s="19">
        <v>3</v>
      </c>
      <c r="K7" s="19">
        <f t="shared" si="3"/>
        <v>1</v>
      </c>
      <c r="L7" s="19">
        <f t="shared" si="4"/>
        <v>4</v>
      </c>
      <c r="M7" s="19">
        <f t="shared" si="5"/>
        <v>4</v>
      </c>
      <c r="N7" s="19">
        <f t="shared" si="6"/>
        <v>0</v>
      </c>
      <c r="O7" s="22"/>
      <c r="P7" s="22"/>
      <c r="Q7" s="25">
        <v>2</v>
      </c>
      <c r="R7" s="19">
        <v>0</v>
      </c>
      <c r="S7" s="19">
        <v>1</v>
      </c>
      <c r="T7" s="19">
        <v>1</v>
      </c>
      <c r="U7" s="19">
        <v>0</v>
      </c>
      <c r="V7" s="19">
        <v>1</v>
      </c>
      <c r="W7" s="19">
        <v>1</v>
      </c>
      <c r="X7" s="19">
        <v>0</v>
      </c>
      <c r="Y7" s="19">
        <v>2</v>
      </c>
      <c r="Z7" s="19">
        <v>0</v>
      </c>
      <c r="AA7" s="26"/>
    </row>
    <row r="8" spans="1:27" s="8" customFormat="1" ht="17" customHeight="1">
      <c r="A8" s="23" t="s">
        <v>31</v>
      </c>
      <c r="B8" s="19">
        <v>4</v>
      </c>
      <c r="C8" s="19">
        <v>9</v>
      </c>
      <c r="D8" s="24">
        <v>9</v>
      </c>
      <c r="E8" s="19">
        <f t="shared" si="1"/>
        <v>0</v>
      </c>
      <c r="F8" s="19">
        <v>4</v>
      </c>
      <c r="G8" s="21">
        <v>4</v>
      </c>
      <c r="H8" s="19">
        <f t="shared" si="2"/>
        <v>0</v>
      </c>
      <c r="I8" s="19">
        <v>0</v>
      </c>
      <c r="J8" s="19">
        <v>0</v>
      </c>
      <c r="K8" s="19">
        <f t="shared" si="3"/>
        <v>0</v>
      </c>
      <c r="L8" s="19">
        <f t="shared" si="4"/>
        <v>4</v>
      </c>
      <c r="M8" s="19">
        <f t="shared" si="5"/>
        <v>4</v>
      </c>
      <c r="N8" s="19">
        <f t="shared" si="6"/>
        <v>0</v>
      </c>
      <c r="O8" s="22"/>
      <c r="P8" s="22"/>
      <c r="Q8" s="25">
        <v>9</v>
      </c>
      <c r="R8" s="19">
        <v>3</v>
      </c>
      <c r="S8" s="19">
        <v>0</v>
      </c>
      <c r="T8" s="19">
        <v>2</v>
      </c>
      <c r="U8" s="19">
        <v>1</v>
      </c>
      <c r="V8" s="19">
        <v>4</v>
      </c>
      <c r="W8" s="19">
        <v>4</v>
      </c>
      <c r="X8" s="19">
        <v>1</v>
      </c>
      <c r="Y8" s="19">
        <v>6</v>
      </c>
      <c r="Z8" s="4">
        <v>2</v>
      </c>
      <c r="AA8" s="26"/>
    </row>
    <row r="9" spans="1:27" s="8" customFormat="1" ht="17" customHeight="1">
      <c r="A9" s="23" t="s">
        <v>32</v>
      </c>
      <c r="B9" s="19">
        <v>2</v>
      </c>
      <c r="C9" s="19">
        <v>6</v>
      </c>
      <c r="D9" s="24">
        <v>6</v>
      </c>
      <c r="E9" s="19">
        <f t="shared" si="1"/>
        <v>0</v>
      </c>
      <c r="F9" s="19">
        <v>3</v>
      </c>
      <c r="G9" s="21">
        <v>3</v>
      </c>
      <c r="H9" s="19">
        <f t="shared" si="2"/>
        <v>0</v>
      </c>
      <c r="I9" s="19">
        <v>0</v>
      </c>
      <c r="J9" s="19">
        <v>0</v>
      </c>
      <c r="K9" s="19">
        <f t="shared" si="3"/>
        <v>0</v>
      </c>
      <c r="L9" s="19">
        <f t="shared" si="4"/>
        <v>3</v>
      </c>
      <c r="M9" s="19">
        <f t="shared" si="5"/>
        <v>3</v>
      </c>
      <c r="N9" s="19">
        <f t="shared" si="6"/>
        <v>0</v>
      </c>
      <c r="O9" s="22"/>
      <c r="P9" s="22"/>
      <c r="Q9" s="25">
        <v>5</v>
      </c>
      <c r="R9" s="19">
        <v>1</v>
      </c>
      <c r="S9" s="19">
        <v>2</v>
      </c>
      <c r="T9" s="19">
        <v>0</v>
      </c>
      <c r="U9" s="19">
        <v>0</v>
      </c>
      <c r="V9" s="19">
        <v>2</v>
      </c>
      <c r="W9" s="19">
        <v>3</v>
      </c>
      <c r="X9" s="19">
        <v>1</v>
      </c>
      <c r="Y9" s="19">
        <v>4</v>
      </c>
      <c r="Z9" s="19">
        <v>0</v>
      </c>
      <c r="AA9" s="26"/>
    </row>
    <row r="10" spans="1:27" s="8" customFormat="1" ht="17" customHeight="1">
      <c r="A10" s="23" t="s">
        <v>33</v>
      </c>
      <c r="B10" s="19">
        <v>5</v>
      </c>
      <c r="C10" s="19">
        <v>2</v>
      </c>
      <c r="D10" s="24">
        <v>2</v>
      </c>
      <c r="E10" s="19">
        <f t="shared" si="1"/>
        <v>0</v>
      </c>
      <c r="F10" s="19">
        <v>7</v>
      </c>
      <c r="G10" s="21">
        <v>7</v>
      </c>
      <c r="H10" s="19">
        <f t="shared" si="2"/>
        <v>0</v>
      </c>
      <c r="I10" s="19">
        <v>2</v>
      </c>
      <c r="J10" s="19">
        <v>2</v>
      </c>
      <c r="K10" s="19">
        <f t="shared" si="3"/>
        <v>0</v>
      </c>
      <c r="L10" s="19">
        <f t="shared" si="4"/>
        <v>5</v>
      </c>
      <c r="M10" s="19">
        <f t="shared" si="5"/>
        <v>5</v>
      </c>
      <c r="N10" s="19">
        <f t="shared" si="6"/>
        <v>0</v>
      </c>
      <c r="O10" s="22"/>
      <c r="P10" s="22"/>
      <c r="Q10" s="25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26"/>
    </row>
    <row r="11" spans="1:27" s="8" customFormat="1" ht="17" customHeight="1">
      <c r="A11" s="23" t="s">
        <v>34</v>
      </c>
      <c r="B11" s="19">
        <v>0</v>
      </c>
      <c r="C11" s="19">
        <v>0</v>
      </c>
      <c r="D11" s="24">
        <v>0</v>
      </c>
      <c r="E11" s="19">
        <f t="shared" si="1"/>
        <v>0</v>
      </c>
      <c r="F11" s="19">
        <v>0</v>
      </c>
      <c r="G11" s="21">
        <v>0</v>
      </c>
      <c r="H11" s="19">
        <f t="shared" si="2"/>
        <v>0</v>
      </c>
      <c r="I11" s="19">
        <v>0</v>
      </c>
      <c r="J11" s="19">
        <v>0</v>
      </c>
      <c r="K11" s="19">
        <f t="shared" si="3"/>
        <v>0</v>
      </c>
      <c r="L11" s="19">
        <f t="shared" si="4"/>
        <v>0</v>
      </c>
      <c r="M11" s="19">
        <f t="shared" si="5"/>
        <v>0</v>
      </c>
      <c r="N11" s="19">
        <f t="shared" si="6"/>
        <v>0</v>
      </c>
      <c r="O11" s="22"/>
      <c r="P11" s="22"/>
      <c r="Q11" s="25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26"/>
    </row>
    <row r="12" spans="1:27" s="8" customFormat="1" ht="17" customHeight="1">
      <c r="A12" s="23" t="s">
        <v>35</v>
      </c>
      <c r="B12" s="19">
        <v>0</v>
      </c>
      <c r="C12" s="19">
        <v>1</v>
      </c>
      <c r="D12" s="24">
        <v>1</v>
      </c>
      <c r="E12" s="19">
        <f t="shared" si="1"/>
        <v>0</v>
      </c>
      <c r="F12" s="19">
        <v>1</v>
      </c>
      <c r="G12" s="21">
        <v>1</v>
      </c>
      <c r="H12" s="19">
        <f t="shared" si="2"/>
        <v>0</v>
      </c>
      <c r="I12" s="19">
        <v>1</v>
      </c>
      <c r="J12" s="19">
        <v>1</v>
      </c>
      <c r="K12" s="19">
        <f t="shared" si="3"/>
        <v>0</v>
      </c>
      <c r="L12" s="19">
        <f t="shared" si="4"/>
        <v>0</v>
      </c>
      <c r="M12" s="19">
        <f t="shared" si="5"/>
        <v>0</v>
      </c>
      <c r="N12" s="19">
        <f t="shared" si="6"/>
        <v>0</v>
      </c>
      <c r="O12" s="22"/>
      <c r="P12" s="22"/>
      <c r="Q12" s="25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26"/>
    </row>
    <row r="13" spans="1:27" s="8" customFormat="1" ht="17" customHeight="1">
      <c r="A13" s="23" t="s">
        <v>36</v>
      </c>
      <c r="B13" s="19">
        <v>0</v>
      </c>
      <c r="C13" s="19">
        <v>4</v>
      </c>
      <c r="D13" s="24">
        <v>4</v>
      </c>
      <c r="E13" s="19">
        <f t="shared" si="1"/>
        <v>0</v>
      </c>
      <c r="F13" s="19">
        <v>2</v>
      </c>
      <c r="G13" s="21">
        <v>2</v>
      </c>
      <c r="H13" s="19">
        <f t="shared" si="2"/>
        <v>0</v>
      </c>
      <c r="I13" s="19">
        <v>1</v>
      </c>
      <c r="J13" s="19">
        <v>1</v>
      </c>
      <c r="K13" s="19">
        <f t="shared" si="3"/>
        <v>0</v>
      </c>
      <c r="L13" s="19">
        <f t="shared" si="4"/>
        <v>1</v>
      </c>
      <c r="M13" s="19">
        <f t="shared" si="5"/>
        <v>1</v>
      </c>
      <c r="N13" s="19">
        <f t="shared" si="6"/>
        <v>0</v>
      </c>
      <c r="O13" s="22"/>
      <c r="P13" s="22"/>
      <c r="Q13" s="25">
        <v>2</v>
      </c>
      <c r="R13" s="19">
        <v>1</v>
      </c>
      <c r="S13" s="19">
        <v>0</v>
      </c>
      <c r="T13" s="19">
        <v>0</v>
      </c>
      <c r="U13" s="19">
        <v>0</v>
      </c>
      <c r="V13" s="19">
        <v>2</v>
      </c>
      <c r="W13" s="19">
        <v>0</v>
      </c>
      <c r="X13" s="19">
        <v>0</v>
      </c>
      <c r="Y13" s="19">
        <v>1</v>
      </c>
      <c r="Z13" s="19">
        <v>1</v>
      </c>
      <c r="AA13" s="26"/>
    </row>
    <row r="14" spans="1:27" s="8" customFormat="1" ht="17" customHeight="1">
      <c r="A14" s="23" t="s">
        <v>37</v>
      </c>
      <c r="B14" s="19">
        <v>1</v>
      </c>
      <c r="C14" s="19">
        <v>2</v>
      </c>
      <c r="D14" s="24">
        <v>2</v>
      </c>
      <c r="E14" s="19">
        <f t="shared" si="1"/>
        <v>0</v>
      </c>
      <c r="F14" s="19">
        <v>2</v>
      </c>
      <c r="G14" s="21">
        <v>2</v>
      </c>
      <c r="H14" s="19">
        <f t="shared" si="2"/>
        <v>0</v>
      </c>
      <c r="I14" s="19">
        <v>0</v>
      </c>
      <c r="J14" s="19">
        <v>0</v>
      </c>
      <c r="K14" s="19">
        <f t="shared" si="3"/>
        <v>0</v>
      </c>
      <c r="L14" s="19">
        <f t="shared" si="4"/>
        <v>2</v>
      </c>
      <c r="M14" s="19">
        <f t="shared" si="5"/>
        <v>2</v>
      </c>
      <c r="N14" s="19">
        <f t="shared" si="6"/>
        <v>0</v>
      </c>
      <c r="O14" s="22"/>
      <c r="P14" s="22"/>
      <c r="Q14" s="25">
        <v>1</v>
      </c>
      <c r="R14" s="19">
        <v>1</v>
      </c>
      <c r="S14" s="19">
        <v>0</v>
      </c>
      <c r="T14" s="19">
        <v>0</v>
      </c>
      <c r="U14" s="19">
        <v>0</v>
      </c>
      <c r="V14" s="19">
        <v>1</v>
      </c>
      <c r="W14" s="19">
        <v>0</v>
      </c>
      <c r="X14" s="19">
        <v>0</v>
      </c>
      <c r="Y14" s="19">
        <v>1</v>
      </c>
      <c r="Z14" s="19">
        <v>0</v>
      </c>
      <c r="AA14" s="26"/>
    </row>
    <row r="15" spans="1:27" s="8" customFormat="1" ht="17" customHeight="1">
      <c r="A15" s="23" t="s">
        <v>38</v>
      </c>
      <c r="B15" s="19">
        <v>0</v>
      </c>
      <c r="C15" s="19">
        <v>2</v>
      </c>
      <c r="D15" s="24">
        <v>2</v>
      </c>
      <c r="E15" s="19">
        <f t="shared" si="1"/>
        <v>0</v>
      </c>
      <c r="F15" s="19">
        <v>1</v>
      </c>
      <c r="G15" s="21">
        <v>1</v>
      </c>
      <c r="H15" s="19">
        <f t="shared" si="2"/>
        <v>0</v>
      </c>
      <c r="I15" s="19">
        <v>1</v>
      </c>
      <c r="J15" s="19">
        <v>1</v>
      </c>
      <c r="K15" s="19">
        <f t="shared" si="3"/>
        <v>0</v>
      </c>
      <c r="L15" s="19">
        <f t="shared" si="4"/>
        <v>0</v>
      </c>
      <c r="M15" s="19">
        <f t="shared" si="5"/>
        <v>0</v>
      </c>
      <c r="N15" s="19">
        <f t="shared" si="6"/>
        <v>0</v>
      </c>
      <c r="O15" s="22"/>
      <c r="P15" s="22"/>
      <c r="Q15" s="25">
        <v>1</v>
      </c>
      <c r="R15" s="19">
        <v>0</v>
      </c>
      <c r="S15" s="19">
        <v>1</v>
      </c>
      <c r="T15" s="19">
        <v>0</v>
      </c>
      <c r="U15" s="19">
        <v>0</v>
      </c>
      <c r="V15" s="19">
        <v>1</v>
      </c>
      <c r="W15" s="19">
        <v>0</v>
      </c>
      <c r="X15" s="19">
        <v>0</v>
      </c>
      <c r="Y15" s="19">
        <v>1</v>
      </c>
      <c r="Z15" s="19">
        <v>0</v>
      </c>
      <c r="AA15" s="26"/>
    </row>
    <row r="16" spans="1:27" s="8" customFormat="1" ht="17" customHeight="1">
      <c r="A16" s="23" t="s">
        <v>39</v>
      </c>
      <c r="B16" s="19">
        <v>2</v>
      </c>
      <c r="C16" s="19">
        <v>3</v>
      </c>
      <c r="D16" s="24">
        <v>3</v>
      </c>
      <c r="E16" s="19">
        <f t="shared" si="1"/>
        <v>0</v>
      </c>
      <c r="F16" s="19">
        <v>2</v>
      </c>
      <c r="G16" s="21">
        <v>2</v>
      </c>
      <c r="H16" s="19">
        <f t="shared" si="2"/>
        <v>0</v>
      </c>
      <c r="I16" s="19">
        <v>0</v>
      </c>
      <c r="J16" s="19">
        <v>0</v>
      </c>
      <c r="K16" s="19">
        <f t="shared" si="3"/>
        <v>0</v>
      </c>
      <c r="L16" s="19">
        <f t="shared" si="4"/>
        <v>2</v>
      </c>
      <c r="M16" s="19">
        <f t="shared" si="5"/>
        <v>2</v>
      </c>
      <c r="N16" s="19">
        <f t="shared" si="6"/>
        <v>0</v>
      </c>
      <c r="O16" s="22">
        <v>1</v>
      </c>
      <c r="P16" s="22"/>
      <c r="Q16" s="25">
        <v>3</v>
      </c>
      <c r="R16" s="19">
        <v>1</v>
      </c>
      <c r="S16" s="19">
        <v>0</v>
      </c>
      <c r="T16" s="19">
        <v>2</v>
      </c>
      <c r="U16" s="19">
        <v>0</v>
      </c>
      <c r="V16" s="19">
        <v>0</v>
      </c>
      <c r="W16" s="19">
        <v>3</v>
      </c>
      <c r="X16" s="19">
        <v>0</v>
      </c>
      <c r="Y16" s="19">
        <v>2</v>
      </c>
      <c r="Z16" s="19">
        <v>1</v>
      </c>
      <c r="AA16" s="26"/>
    </row>
    <row r="17" spans="1:45" s="8" customFormat="1" ht="17" customHeight="1">
      <c r="A17" s="23" t="s">
        <v>40</v>
      </c>
      <c r="B17" s="19">
        <v>1</v>
      </c>
      <c r="C17" s="19">
        <v>2</v>
      </c>
      <c r="D17" s="24">
        <v>2</v>
      </c>
      <c r="E17" s="19">
        <f t="shared" si="1"/>
        <v>0</v>
      </c>
      <c r="F17" s="19">
        <v>0</v>
      </c>
      <c r="G17" s="21">
        <v>1</v>
      </c>
      <c r="H17" s="19">
        <f t="shared" si="2"/>
        <v>1</v>
      </c>
      <c r="I17" s="19">
        <v>0</v>
      </c>
      <c r="J17" s="19">
        <v>0</v>
      </c>
      <c r="K17" s="19">
        <f t="shared" si="3"/>
        <v>0</v>
      </c>
      <c r="L17" s="19">
        <f t="shared" si="4"/>
        <v>0</v>
      </c>
      <c r="M17" s="19">
        <f t="shared" si="5"/>
        <v>1</v>
      </c>
      <c r="N17" s="19">
        <f t="shared" si="6"/>
        <v>1</v>
      </c>
      <c r="O17" s="22"/>
      <c r="P17" s="22"/>
      <c r="Q17" s="25">
        <v>2</v>
      </c>
      <c r="R17" s="19">
        <v>1</v>
      </c>
      <c r="S17" s="19">
        <v>0</v>
      </c>
      <c r="T17" s="19">
        <v>0</v>
      </c>
      <c r="U17" s="19">
        <v>1</v>
      </c>
      <c r="V17" s="19">
        <v>1</v>
      </c>
      <c r="W17" s="19">
        <v>0</v>
      </c>
      <c r="X17" s="19">
        <v>0</v>
      </c>
      <c r="Y17" s="19">
        <v>2</v>
      </c>
      <c r="Z17" s="19">
        <v>0</v>
      </c>
      <c r="AA17" s="26"/>
    </row>
    <row r="18" spans="1:45" s="8" customFormat="1" ht="17" customHeight="1">
      <c r="A18" s="23" t="s">
        <v>41</v>
      </c>
      <c r="B18" s="19">
        <v>1</v>
      </c>
      <c r="C18" s="19">
        <v>2</v>
      </c>
      <c r="D18" s="24">
        <v>2</v>
      </c>
      <c r="E18" s="19">
        <f t="shared" si="1"/>
        <v>0</v>
      </c>
      <c r="F18" s="19">
        <v>1</v>
      </c>
      <c r="G18" s="21">
        <v>1</v>
      </c>
      <c r="H18" s="19">
        <f t="shared" si="2"/>
        <v>0</v>
      </c>
      <c r="I18" s="19">
        <v>0</v>
      </c>
      <c r="J18" s="19">
        <v>0</v>
      </c>
      <c r="K18" s="19">
        <f t="shared" si="3"/>
        <v>0</v>
      </c>
      <c r="L18" s="19">
        <f t="shared" si="4"/>
        <v>1</v>
      </c>
      <c r="M18" s="19">
        <f t="shared" si="5"/>
        <v>1</v>
      </c>
      <c r="N18" s="19">
        <f t="shared" si="6"/>
        <v>0</v>
      </c>
      <c r="O18" s="22"/>
      <c r="P18" s="22"/>
      <c r="Q18" s="25">
        <v>2</v>
      </c>
      <c r="R18" s="19">
        <v>2</v>
      </c>
      <c r="S18" s="19">
        <v>0</v>
      </c>
      <c r="T18" s="19">
        <v>0</v>
      </c>
      <c r="U18" s="19">
        <v>0</v>
      </c>
      <c r="V18" s="19">
        <v>1</v>
      </c>
      <c r="W18" s="19">
        <v>1</v>
      </c>
      <c r="X18" s="19">
        <v>0</v>
      </c>
      <c r="Y18" s="19">
        <v>2</v>
      </c>
      <c r="Z18" s="19">
        <v>0</v>
      </c>
      <c r="AA18" s="26"/>
    </row>
    <row r="19" spans="1:45" s="8" customFormat="1" ht="17" customHeight="1">
      <c r="A19" s="23" t="s">
        <v>42</v>
      </c>
      <c r="B19" s="19">
        <v>1</v>
      </c>
      <c r="C19" s="19">
        <v>3</v>
      </c>
      <c r="D19" s="24">
        <v>3</v>
      </c>
      <c r="E19" s="19">
        <f t="shared" si="1"/>
        <v>0</v>
      </c>
      <c r="F19" s="19">
        <v>2</v>
      </c>
      <c r="G19" s="21">
        <v>2</v>
      </c>
      <c r="H19" s="19">
        <f t="shared" si="2"/>
        <v>0</v>
      </c>
      <c r="I19" s="19">
        <v>1</v>
      </c>
      <c r="J19" s="19">
        <v>1</v>
      </c>
      <c r="K19" s="19">
        <f t="shared" si="3"/>
        <v>0</v>
      </c>
      <c r="L19" s="19">
        <f t="shared" si="4"/>
        <v>1</v>
      </c>
      <c r="M19" s="19">
        <f t="shared" si="5"/>
        <v>1</v>
      </c>
      <c r="N19" s="19">
        <f t="shared" si="6"/>
        <v>0</v>
      </c>
      <c r="O19" s="22"/>
      <c r="P19" s="22"/>
      <c r="Q19" s="25">
        <v>2</v>
      </c>
      <c r="R19" s="19">
        <v>1</v>
      </c>
      <c r="S19" s="19">
        <v>0</v>
      </c>
      <c r="T19" s="19">
        <v>0</v>
      </c>
      <c r="U19" s="19">
        <v>1</v>
      </c>
      <c r="V19" s="19">
        <v>1</v>
      </c>
      <c r="W19" s="19">
        <v>0</v>
      </c>
      <c r="X19" s="19">
        <v>0</v>
      </c>
      <c r="Y19" s="19">
        <v>1</v>
      </c>
      <c r="Z19" s="4">
        <v>1</v>
      </c>
      <c r="AA19" s="26"/>
    </row>
    <row r="20" spans="1:45" s="8" customFormat="1" ht="17" customHeight="1">
      <c r="A20" s="23" t="s">
        <v>43</v>
      </c>
      <c r="B20" s="19">
        <v>1</v>
      </c>
      <c r="C20" s="19">
        <v>6</v>
      </c>
      <c r="D20" s="24">
        <v>6</v>
      </c>
      <c r="E20" s="19">
        <f t="shared" si="1"/>
        <v>0</v>
      </c>
      <c r="F20" s="19">
        <v>4</v>
      </c>
      <c r="G20" s="21">
        <v>4</v>
      </c>
      <c r="H20" s="19">
        <f t="shared" si="2"/>
        <v>0</v>
      </c>
      <c r="I20" s="19">
        <v>3</v>
      </c>
      <c r="J20" s="19">
        <v>3</v>
      </c>
      <c r="K20" s="19">
        <f t="shared" si="3"/>
        <v>0</v>
      </c>
      <c r="L20" s="19">
        <f t="shared" si="4"/>
        <v>1</v>
      </c>
      <c r="M20" s="19">
        <f t="shared" si="5"/>
        <v>1</v>
      </c>
      <c r="N20" s="19">
        <f t="shared" si="6"/>
        <v>0</v>
      </c>
      <c r="O20" s="22"/>
      <c r="P20" s="22"/>
      <c r="Q20" s="25">
        <v>3</v>
      </c>
      <c r="R20" s="19">
        <v>1</v>
      </c>
      <c r="S20" s="19">
        <v>0</v>
      </c>
      <c r="T20" s="19">
        <v>0</v>
      </c>
      <c r="U20" s="19">
        <v>0</v>
      </c>
      <c r="V20" s="19">
        <v>1</v>
      </c>
      <c r="W20" s="19">
        <v>2</v>
      </c>
      <c r="X20" s="19">
        <v>0</v>
      </c>
      <c r="Y20" s="19">
        <v>2</v>
      </c>
      <c r="Z20" s="19">
        <v>1</v>
      </c>
      <c r="AA20" s="26"/>
    </row>
    <row r="21" spans="1:45" s="8" customFormat="1" ht="17" customHeight="1">
      <c r="A21" s="23" t="s">
        <v>44</v>
      </c>
      <c r="B21" s="19">
        <v>2</v>
      </c>
      <c r="C21" s="19">
        <v>1</v>
      </c>
      <c r="D21" s="24">
        <v>1</v>
      </c>
      <c r="E21" s="19">
        <f t="shared" si="1"/>
        <v>0</v>
      </c>
      <c r="F21" s="19">
        <v>2</v>
      </c>
      <c r="G21" s="21">
        <v>2</v>
      </c>
      <c r="H21" s="19">
        <f t="shared" si="2"/>
        <v>0</v>
      </c>
      <c r="I21" s="19">
        <v>1</v>
      </c>
      <c r="J21" s="19">
        <v>1</v>
      </c>
      <c r="K21" s="19">
        <f t="shared" si="3"/>
        <v>0</v>
      </c>
      <c r="L21" s="19">
        <f t="shared" si="4"/>
        <v>1</v>
      </c>
      <c r="M21" s="19">
        <f t="shared" si="5"/>
        <v>1</v>
      </c>
      <c r="N21" s="19">
        <f t="shared" si="6"/>
        <v>0</v>
      </c>
      <c r="O21" s="22"/>
      <c r="P21" s="22"/>
      <c r="Q21" s="25">
        <v>1</v>
      </c>
      <c r="R21" s="19">
        <v>0</v>
      </c>
      <c r="S21" s="19">
        <v>0</v>
      </c>
      <c r="T21" s="19">
        <v>0</v>
      </c>
      <c r="U21" s="19">
        <v>0</v>
      </c>
      <c r="V21" s="19">
        <v>1</v>
      </c>
      <c r="W21" s="19">
        <v>0</v>
      </c>
      <c r="X21" s="19">
        <v>0</v>
      </c>
      <c r="Y21" s="19">
        <v>1</v>
      </c>
      <c r="Z21" s="19">
        <v>0</v>
      </c>
      <c r="AA21" s="26"/>
    </row>
    <row r="22" spans="1:45" s="8" customFormat="1" ht="17" customHeight="1">
      <c r="A22" s="18" t="s">
        <v>45</v>
      </c>
      <c r="B22" s="19">
        <v>3</v>
      </c>
      <c r="C22" s="19">
        <v>7</v>
      </c>
      <c r="D22" s="24">
        <v>7</v>
      </c>
      <c r="E22" s="19">
        <f t="shared" si="1"/>
        <v>0</v>
      </c>
      <c r="F22" s="19">
        <v>4</v>
      </c>
      <c r="G22" s="21">
        <v>4</v>
      </c>
      <c r="H22" s="19">
        <f t="shared" si="2"/>
        <v>0</v>
      </c>
      <c r="I22" s="4">
        <v>1</v>
      </c>
      <c r="J22" s="4">
        <v>1</v>
      </c>
      <c r="K22" s="19">
        <f t="shared" si="3"/>
        <v>0</v>
      </c>
      <c r="L22" s="19">
        <f t="shared" si="4"/>
        <v>3</v>
      </c>
      <c r="M22" s="19">
        <f t="shared" si="5"/>
        <v>3</v>
      </c>
      <c r="N22" s="19">
        <f t="shared" si="6"/>
        <v>0</v>
      </c>
      <c r="O22" s="22"/>
      <c r="P22" s="22"/>
      <c r="Q22" s="25">
        <v>6</v>
      </c>
      <c r="R22" s="19">
        <v>4</v>
      </c>
      <c r="S22" s="19">
        <v>0</v>
      </c>
      <c r="T22" s="19">
        <v>0</v>
      </c>
      <c r="U22" s="19">
        <v>2</v>
      </c>
      <c r="V22" s="4">
        <v>1</v>
      </c>
      <c r="W22" s="19">
        <v>3</v>
      </c>
      <c r="X22" s="19">
        <v>1</v>
      </c>
      <c r="Y22" s="19">
        <v>4</v>
      </c>
      <c r="Z22" s="4">
        <v>1</v>
      </c>
      <c r="AA22" s="26"/>
    </row>
    <row r="23" spans="1:45" s="8" customFormat="1" ht="17" customHeight="1">
      <c r="A23" s="23" t="s">
        <v>46</v>
      </c>
      <c r="B23" s="19">
        <v>3</v>
      </c>
      <c r="C23" s="19">
        <v>6</v>
      </c>
      <c r="D23" s="24">
        <v>6</v>
      </c>
      <c r="E23" s="19">
        <f t="shared" si="1"/>
        <v>0</v>
      </c>
      <c r="F23" s="19">
        <v>6</v>
      </c>
      <c r="G23" s="21">
        <v>6</v>
      </c>
      <c r="H23" s="19">
        <f t="shared" si="2"/>
        <v>0</v>
      </c>
      <c r="I23" s="19">
        <v>1</v>
      </c>
      <c r="J23" s="19">
        <v>1</v>
      </c>
      <c r="K23" s="19">
        <f t="shared" si="3"/>
        <v>0</v>
      </c>
      <c r="L23" s="19">
        <f t="shared" si="4"/>
        <v>5</v>
      </c>
      <c r="M23" s="19">
        <f t="shared" si="5"/>
        <v>5</v>
      </c>
      <c r="N23" s="19">
        <f t="shared" si="6"/>
        <v>0</v>
      </c>
      <c r="O23" s="22">
        <v>1</v>
      </c>
      <c r="P23" s="22"/>
      <c r="Q23" s="25">
        <v>3</v>
      </c>
      <c r="R23" s="19">
        <v>0</v>
      </c>
      <c r="S23" s="19">
        <v>0</v>
      </c>
      <c r="T23" s="19">
        <v>0</v>
      </c>
      <c r="U23" s="19">
        <v>0</v>
      </c>
      <c r="V23" s="19">
        <v>3</v>
      </c>
      <c r="W23" s="19">
        <v>0</v>
      </c>
      <c r="X23" s="19">
        <v>0</v>
      </c>
      <c r="Y23" s="19">
        <v>1</v>
      </c>
      <c r="Z23" s="4">
        <v>2</v>
      </c>
      <c r="AA23" s="26"/>
    </row>
    <row r="24" spans="1:45" s="8" customFormat="1" ht="17" customHeight="1">
      <c r="A24" s="23" t="s">
        <v>47</v>
      </c>
      <c r="B24" s="19">
        <v>2</v>
      </c>
      <c r="C24" s="19">
        <v>1</v>
      </c>
      <c r="D24" s="24">
        <v>1</v>
      </c>
      <c r="E24" s="19">
        <f t="shared" si="1"/>
        <v>0</v>
      </c>
      <c r="F24" s="19">
        <v>3</v>
      </c>
      <c r="G24" s="21">
        <v>3</v>
      </c>
      <c r="H24" s="19">
        <f t="shared" si="2"/>
        <v>0</v>
      </c>
      <c r="I24" s="19">
        <v>1</v>
      </c>
      <c r="J24" s="19">
        <v>1</v>
      </c>
      <c r="K24" s="19">
        <f t="shared" si="3"/>
        <v>0</v>
      </c>
      <c r="L24" s="19">
        <f t="shared" si="4"/>
        <v>2</v>
      </c>
      <c r="M24" s="19">
        <f t="shared" si="5"/>
        <v>2</v>
      </c>
      <c r="N24" s="19">
        <f t="shared" si="6"/>
        <v>0</v>
      </c>
      <c r="O24" s="22"/>
      <c r="P24" s="22"/>
      <c r="Q24" s="25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26"/>
    </row>
    <row r="25" spans="1:45" s="8" customFormat="1" ht="14">
      <c r="A25" s="23" t="s">
        <v>48</v>
      </c>
      <c r="B25" s="19">
        <v>9</v>
      </c>
      <c r="C25" s="19">
        <v>24</v>
      </c>
      <c r="D25" s="24">
        <v>26</v>
      </c>
      <c r="E25" s="19">
        <f t="shared" si="1"/>
        <v>2</v>
      </c>
      <c r="F25" s="19">
        <v>23</v>
      </c>
      <c r="G25" s="21">
        <v>23</v>
      </c>
      <c r="H25" s="19">
        <f t="shared" si="2"/>
        <v>0</v>
      </c>
      <c r="I25" s="19">
        <v>8</v>
      </c>
      <c r="J25" s="19">
        <v>8</v>
      </c>
      <c r="K25" s="19">
        <f t="shared" si="3"/>
        <v>0</v>
      </c>
      <c r="L25" s="19">
        <f t="shared" si="4"/>
        <v>15</v>
      </c>
      <c r="M25" s="19">
        <f t="shared" si="5"/>
        <v>15</v>
      </c>
      <c r="N25" s="19">
        <f t="shared" si="6"/>
        <v>0</v>
      </c>
      <c r="O25" s="22"/>
      <c r="P25" s="22"/>
      <c r="Q25" s="25">
        <v>12</v>
      </c>
      <c r="R25" s="19">
        <v>5</v>
      </c>
      <c r="S25" s="19">
        <v>1</v>
      </c>
      <c r="T25" s="19">
        <v>0</v>
      </c>
      <c r="U25" s="19">
        <v>2</v>
      </c>
      <c r="V25" s="19">
        <v>4</v>
      </c>
      <c r="W25" s="19">
        <v>6</v>
      </c>
      <c r="X25" s="19">
        <v>1</v>
      </c>
      <c r="Y25" s="19">
        <v>11</v>
      </c>
      <c r="Z25" s="19">
        <v>0</v>
      </c>
      <c r="AA25" s="26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</row>
    <row r="26" spans="1:45" s="8" customFormat="1" ht="14">
      <c r="A26" s="23" t="s">
        <v>49</v>
      </c>
      <c r="B26" s="19">
        <v>3</v>
      </c>
      <c r="C26" s="19">
        <v>13</v>
      </c>
      <c r="D26" s="24">
        <v>14</v>
      </c>
      <c r="E26" s="19">
        <f t="shared" si="1"/>
        <v>1</v>
      </c>
      <c r="F26" s="19">
        <v>10</v>
      </c>
      <c r="G26" s="21">
        <v>10</v>
      </c>
      <c r="H26" s="19">
        <f t="shared" si="2"/>
        <v>0</v>
      </c>
      <c r="I26" s="19">
        <v>5</v>
      </c>
      <c r="J26" s="19">
        <v>5</v>
      </c>
      <c r="K26" s="19">
        <f t="shared" si="3"/>
        <v>0</v>
      </c>
      <c r="L26" s="19">
        <f t="shared" si="4"/>
        <v>5</v>
      </c>
      <c r="M26" s="19">
        <f t="shared" si="5"/>
        <v>5</v>
      </c>
      <c r="N26" s="19">
        <f t="shared" si="6"/>
        <v>0</v>
      </c>
      <c r="O26" s="22"/>
      <c r="P26" s="22"/>
      <c r="Q26" s="25">
        <v>7</v>
      </c>
      <c r="R26" s="19">
        <v>1</v>
      </c>
      <c r="S26" s="19">
        <v>2</v>
      </c>
      <c r="T26" s="19">
        <v>3</v>
      </c>
      <c r="U26" s="19">
        <v>1</v>
      </c>
      <c r="V26" s="19">
        <v>1</v>
      </c>
      <c r="W26" s="19">
        <v>5</v>
      </c>
      <c r="X26" s="19">
        <v>1</v>
      </c>
      <c r="Y26" s="19">
        <v>5</v>
      </c>
      <c r="Z26" s="19">
        <v>1</v>
      </c>
      <c r="AA26" s="26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</row>
    <row r="27" spans="1:45" s="8" customFormat="1" ht="15">
      <c r="A27" s="29" t="s">
        <v>50</v>
      </c>
      <c r="B27" s="19">
        <v>3</v>
      </c>
      <c r="C27" s="19">
        <v>10</v>
      </c>
      <c r="D27" s="24">
        <v>10</v>
      </c>
      <c r="E27" s="19">
        <f t="shared" si="1"/>
        <v>0</v>
      </c>
      <c r="F27" s="19">
        <v>5</v>
      </c>
      <c r="G27" s="21">
        <v>6</v>
      </c>
      <c r="H27" s="19">
        <f t="shared" si="2"/>
        <v>1</v>
      </c>
      <c r="I27" s="19">
        <v>1</v>
      </c>
      <c r="J27" s="19">
        <v>2</v>
      </c>
      <c r="K27" s="19">
        <f t="shared" si="3"/>
        <v>1</v>
      </c>
      <c r="L27" s="19">
        <f t="shared" si="4"/>
        <v>4</v>
      </c>
      <c r="M27" s="19">
        <f t="shared" si="5"/>
        <v>4</v>
      </c>
      <c r="N27" s="19">
        <f t="shared" si="6"/>
        <v>0</v>
      </c>
      <c r="O27" s="22"/>
      <c r="P27" s="22"/>
      <c r="Q27" s="25">
        <v>7</v>
      </c>
      <c r="R27" s="19">
        <v>4</v>
      </c>
      <c r="S27" s="19">
        <v>1</v>
      </c>
      <c r="T27" s="19">
        <v>0</v>
      </c>
      <c r="U27" s="19">
        <v>0</v>
      </c>
      <c r="V27" s="19">
        <v>1</v>
      </c>
      <c r="W27" s="19">
        <v>6</v>
      </c>
      <c r="X27" s="19">
        <v>2</v>
      </c>
      <c r="Y27" s="19">
        <v>1</v>
      </c>
      <c r="Z27" s="19">
        <v>4</v>
      </c>
      <c r="AA27" s="26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</row>
    <row r="28" spans="1:45" ht="20">
      <c r="A28" s="30"/>
      <c r="B28" s="31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45" ht="20">
      <c r="A29" s="30"/>
      <c r="B29" s="31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45" ht="20">
      <c r="A30" s="30"/>
      <c r="B30" s="31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45" ht="20">
      <c r="A31" s="33"/>
      <c r="B31" s="34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45" ht="20">
      <c r="A32" s="30"/>
      <c r="B32" s="31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1:27" ht="20">
      <c r="A33" s="30"/>
      <c r="B33" s="31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1:27" ht="20">
      <c r="A34" s="30"/>
      <c r="B34" s="31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1:27" ht="20">
      <c r="A35" s="30"/>
      <c r="B35" s="31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1:27" ht="20">
      <c r="A36" s="30"/>
      <c r="B36" s="31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1:27" ht="20">
      <c r="A37" s="30"/>
      <c r="B37" s="31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</sheetData>
  <mergeCells count="15">
    <mergeCell ref="S2:S3"/>
    <mergeCell ref="T2:T3"/>
    <mergeCell ref="U2:W2"/>
    <mergeCell ref="X2:Z2"/>
    <mergeCell ref="AA2:AA3"/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</mergeCells>
  <pageMargins left="0.59015748031496063" right="0.19645669291338583" top="0.78740157480314954" bottom="0.59015748031496051" header="0.39370078740157477" footer="0.19645669291338583"/>
  <pageSetup paperSize="0" scale="60" fitToWidth="0" fitToHeight="0" orientation="landscape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9B76C-6123-114B-80F8-B13872E935D2}">
  <dimension ref="A1:XFD37"/>
  <sheetViews>
    <sheetView workbookViewId="0"/>
  </sheetViews>
  <sheetFormatPr baseColWidth="10" defaultRowHeight="13.75"/>
  <cols>
    <col min="1" max="1" width="21" style="3" customWidth="1"/>
    <col min="2" max="2" width="8.6640625" style="35" customWidth="1"/>
    <col min="3" max="10" width="7" style="3" customWidth="1"/>
    <col min="11" max="11" width="6.33203125" style="3" customWidth="1"/>
    <col min="12" max="12" width="6" style="3" customWidth="1"/>
    <col min="13" max="13" width="6.5546875" style="3" customWidth="1"/>
    <col min="14" max="14" width="7.44140625" style="3" customWidth="1"/>
    <col min="15" max="15" width="7.6640625" style="3" customWidth="1"/>
    <col min="16" max="16" width="7" style="3" customWidth="1"/>
    <col min="17" max="17" width="7" style="35" customWidth="1"/>
    <col min="18" max="18" width="6.33203125" style="35" customWidth="1"/>
    <col min="19" max="19" width="6" style="35" customWidth="1"/>
    <col min="20" max="20" width="5.33203125" style="35" customWidth="1"/>
    <col min="21" max="21" width="6.5546875" style="35" customWidth="1"/>
    <col min="22" max="22" width="7.44140625" style="35" customWidth="1"/>
    <col min="23" max="23" width="6.109375" style="35" customWidth="1"/>
    <col min="24" max="24" width="6.6640625" style="35" customWidth="1"/>
    <col min="25" max="25" width="7.109375" style="35" customWidth="1"/>
    <col min="26" max="26" width="7.44140625" style="35" customWidth="1"/>
    <col min="27" max="27" width="45.33203125" style="35" customWidth="1"/>
    <col min="28" max="28" width="11.33203125" style="3" customWidth="1"/>
    <col min="29" max="29" width="7.5546875" style="3" customWidth="1"/>
    <col min="30" max="30" width="10.109375" style="3" customWidth="1"/>
    <col min="31" max="45" width="7.5546875" style="3" customWidth="1"/>
    <col min="46" max="1022" width="9.44140625" style="3" customWidth="1"/>
  </cols>
  <sheetData>
    <row r="1" spans="1:27" ht="20">
      <c r="A1" s="36" t="s">
        <v>57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1"/>
      <c r="P1" s="1"/>
      <c r="Q1" s="37" t="s">
        <v>1</v>
      </c>
      <c r="R1" s="37"/>
      <c r="S1" s="37"/>
      <c r="T1" s="37"/>
      <c r="U1" s="37"/>
      <c r="V1" s="37"/>
      <c r="W1" s="37"/>
      <c r="X1" s="37"/>
      <c r="Y1" s="37"/>
      <c r="Z1" s="37"/>
      <c r="AA1" s="2"/>
    </row>
    <row r="2" spans="1:27" s="8" customFormat="1" ht="46.5" customHeight="1">
      <c r="A2" s="38"/>
      <c r="B2" s="39" t="s">
        <v>2</v>
      </c>
      <c r="C2" s="40" t="s">
        <v>3</v>
      </c>
      <c r="D2" s="40"/>
      <c r="E2" s="40"/>
      <c r="F2" s="41" t="s">
        <v>4</v>
      </c>
      <c r="G2" s="41"/>
      <c r="H2" s="41"/>
      <c r="I2" s="39" t="s">
        <v>5</v>
      </c>
      <c r="J2" s="39"/>
      <c r="K2" s="39"/>
      <c r="L2" s="39"/>
      <c r="M2" s="39"/>
      <c r="N2" s="39"/>
      <c r="O2" s="42" t="s">
        <v>6</v>
      </c>
      <c r="P2" s="42"/>
      <c r="Q2" s="43" t="s">
        <v>7</v>
      </c>
      <c r="R2" s="39" t="s">
        <v>8</v>
      </c>
      <c r="S2" s="39" t="s">
        <v>9</v>
      </c>
      <c r="T2" s="44" t="s">
        <v>10</v>
      </c>
      <c r="U2" s="39" t="s">
        <v>11</v>
      </c>
      <c r="V2" s="39"/>
      <c r="W2" s="39"/>
      <c r="X2" s="39" t="s">
        <v>12</v>
      </c>
      <c r="Y2" s="39"/>
      <c r="Z2" s="39"/>
      <c r="AA2" s="39" t="s">
        <v>13</v>
      </c>
    </row>
    <row r="3" spans="1:27" s="11" customFormat="1" ht="58.75" customHeight="1">
      <c r="A3" s="38"/>
      <c r="B3" s="39"/>
      <c r="C3" s="5" t="s">
        <v>14</v>
      </c>
      <c r="D3" s="6" t="s">
        <v>7</v>
      </c>
      <c r="E3" s="5" t="s">
        <v>15</v>
      </c>
      <c r="F3" s="5" t="s">
        <v>14</v>
      </c>
      <c r="G3" s="7" t="s">
        <v>7</v>
      </c>
      <c r="H3" s="5" t="s">
        <v>58</v>
      </c>
      <c r="I3" s="5" t="s">
        <v>14</v>
      </c>
      <c r="J3" s="5" t="s">
        <v>16</v>
      </c>
      <c r="K3" s="5" t="s">
        <v>59</v>
      </c>
      <c r="L3" s="5" t="s">
        <v>14</v>
      </c>
      <c r="M3" s="5" t="s">
        <v>17</v>
      </c>
      <c r="N3" s="5" t="s">
        <v>59</v>
      </c>
      <c r="O3" s="9" t="s">
        <v>18</v>
      </c>
      <c r="P3" s="9" t="s">
        <v>19</v>
      </c>
      <c r="Q3" s="43"/>
      <c r="R3" s="39"/>
      <c r="S3" s="39"/>
      <c r="T3" s="44"/>
      <c r="U3" s="10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39"/>
    </row>
    <row r="4" spans="1:27" s="8" customFormat="1" ht="17" customHeight="1">
      <c r="A4" s="12" t="s">
        <v>26</v>
      </c>
      <c r="B4" s="13">
        <f t="shared" ref="B4:Z4" si="0">SUM(B6:B27)</f>
        <v>53</v>
      </c>
      <c r="C4" s="13">
        <f t="shared" si="0"/>
        <v>113</v>
      </c>
      <c r="D4" s="14">
        <f t="shared" si="0"/>
        <v>127</v>
      </c>
      <c r="E4" s="13">
        <f t="shared" si="0"/>
        <v>14</v>
      </c>
      <c r="F4" s="13">
        <f t="shared" si="0"/>
        <v>87</v>
      </c>
      <c r="G4" s="15">
        <f t="shared" si="0"/>
        <v>103</v>
      </c>
      <c r="H4" s="13">
        <f t="shared" si="0"/>
        <v>16</v>
      </c>
      <c r="I4" s="13">
        <f t="shared" si="0"/>
        <v>29</v>
      </c>
      <c r="J4" s="13">
        <f t="shared" si="0"/>
        <v>36</v>
      </c>
      <c r="K4" s="13">
        <f t="shared" si="0"/>
        <v>7</v>
      </c>
      <c r="L4" s="13">
        <f t="shared" si="0"/>
        <v>58</v>
      </c>
      <c r="M4" s="13">
        <f t="shared" si="0"/>
        <v>67</v>
      </c>
      <c r="N4" s="13">
        <f t="shared" si="0"/>
        <v>9</v>
      </c>
      <c r="O4" s="16">
        <f t="shared" si="0"/>
        <v>1</v>
      </c>
      <c r="P4" s="16">
        <f t="shared" si="0"/>
        <v>0</v>
      </c>
      <c r="Q4" s="17">
        <f t="shared" si="0"/>
        <v>77</v>
      </c>
      <c r="R4" s="13">
        <f t="shared" si="0"/>
        <v>30</v>
      </c>
      <c r="S4" s="13">
        <f t="shared" si="0"/>
        <v>9</v>
      </c>
      <c r="T4" s="13">
        <f t="shared" si="0"/>
        <v>9</v>
      </c>
      <c r="U4" s="13">
        <f t="shared" si="0"/>
        <v>12</v>
      </c>
      <c r="V4" s="13">
        <f t="shared" si="0"/>
        <v>32</v>
      </c>
      <c r="W4" s="13">
        <f t="shared" si="0"/>
        <v>33</v>
      </c>
      <c r="X4" s="13">
        <f t="shared" si="0"/>
        <v>7</v>
      </c>
      <c r="Y4" s="13">
        <f t="shared" si="0"/>
        <v>56</v>
      </c>
      <c r="Z4" s="13">
        <f t="shared" si="0"/>
        <v>14</v>
      </c>
      <c r="AA4" s="13" t="s">
        <v>27</v>
      </c>
    </row>
    <row r="5" spans="1:27" s="8" customFormat="1" ht="16.5" customHeight="1">
      <c r="A5" s="18" t="s">
        <v>28</v>
      </c>
      <c r="B5" s="19"/>
      <c r="C5" s="13"/>
      <c r="D5" s="20"/>
      <c r="E5" s="13"/>
      <c r="F5" s="13"/>
      <c r="G5" s="21"/>
      <c r="H5" s="19"/>
      <c r="I5" s="19"/>
      <c r="J5" s="19"/>
      <c r="K5" s="19"/>
      <c r="L5" s="19"/>
      <c r="M5" s="19"/>
      <c r="N5" s="19"/>
      <c r="O5" s="22"/>
      <c r="P5" s="22"/>
      <c r="Q5" s="17"/>
      <c r="R5" s="13"/>
      <c r="S5" s="19"/>
      <c r="T5" s="19"/>
      <c r="U5" s="19"/>
      <c r="V5" s="19"/>
      <c r="W5" s="19"/>
      <c r="X5" s="19"/>
      <c r="Y5" s="19"/>
      <c r="Z5" s="19"/>
      <c r="AA5" s="19"/>
    </row>
    <row r="6" spans="1:27" s="8" customFormat="1" ht="17" customHeight="1">
      <c r="A6" s="23" t="s">
        <v>29</v>
      </c>
      <c r="B6" s="19">
        <v>7</v>
      </c>
      <c r="C6" s="19">
        <v>15</v>
      </c>
      <c r="D6" s="24">
        <v>17</v>
      </c>
      <c r="E6" s="19">
        <f t="shared" ref="E6:E27" si="1">D6-C6</f>
        <v>2</v>
      </c>
      <c r="F6" s="19">
        <v>15</v>
      </c>
      <c r="G6" s="21">
        <v>15</v>
      </c>
      <c r="H6" s="19">
        <f t="shared" ref="H6:H27" si="2">G6-F6</f>
        <v>0</v>
      </c>
      <c r="I6" s="19">
        <v>7</v>
      </c>
      <c r="J6" s="19">
        <v>7</v>
      </c>
      <c r="K6" s="19">
        <f t="shared" ref="K6:K27" si="3">J6-I6</f>
        <v>0</v>
      </c>
      <c r="L6" s="19">
        <f t="shared" ref="L6:L27" si="4">F6-I6</f>
        <v>8</v>
      </c>
      <c r="M6" s="19">
        <f t="shared" ref="M6:M27" si="5">G6-J6</f>
        <v>8</v>
      </c>
      <c r="N6" s="19">
        <f t="shared" ref="N6:N27" si="6">M6-L6</f>
        <v>0</v>
      </c>
      <c r="O6" s="22"/>
      <c r="P6" s="22"/>
      <c r="Q6" s="25">
        <v>9</v>
      </c>
      <c r="R6" s="19">
        <v>2</v>
      </c>
      <c r="S6" s="19">
        <v>2</v>
      </c>
      <c r="T6" s="19">
        <v>2</v>
      </c>
      <c r="U6" s="19">
        <v>3</v>
      </c>
      <c r="V6" s="19">
        <v>5</v>
      </c>
      <c r="W6" s="19">
        <v>1</v>
      </c>
      <c r="X6" s="19">
        <v>0</v>
      </c>
      <c r="Y6" s="19">
        <v>9</v>
      </c>
      <c r="Z6" s="19">
        <v>0</v>
      </c>
      <c r="AA6" s="26"/>
    </row>
    <row r="7" spans="1:27" s="8" customFormat="1" ht="17" customHeight="1">
      <c r="A7" s="23" t="s">
        <v>30</v>
      </c>
      <c r="B7" s="19">
        <v>3</v>
      </c>
      <c r="C7" s="19">
        <v>5</v>
      </c>
      <c r="D7" s="24">
        <v>6</v>
      </c>
      <c r="E7" s="19">
        <f t="shared" si="1"/>
        <v>1</v>
      </c>
      <c r="F7" s="19">
        <v>5</v>
      </c>
      <c r="G7" s="21">
        <v>6</v>
      </c>
      <c r="H7" s="19">
        <f t="shared" si="2"/>
        <v>1</v>
      </c>
      <c r="I7" s="19">
        <v>2</v>
      </c>
      <c r="J7" s="19">
        <v>2</v>
      </c>
      <c r="K7" s="19">
        <f t="shared" si="3"/>
        <v>0</v>
      </c>
      <c r="L7" s="19">
        <f t="shared" si="4"/>
        <v>3</v>
      </c>
      <c r="M7" s="19">
        <f t="shared" si="5"/>
        <v>4</v>
      </c>
      <c r="N7" s="19">
        <f t="shared" si="6"/>
        <v>1</v>
      </c>
      <c r="O7" s="22"/>
      <c r="P7" s="22"/>
      <c r="Q7" s="25">
        <v>3</v>
      </c>
      <c r="R7" s="19">
        <v>0</v>
      </c>
      <c r="S7" s="19">
        <v>1</v>
      </c>
      <c r="T7" s="19">
        <v>1</v>
      </c>
      <c r="U7" s="19">
        <v>0</v>
      </c>
      <c r="V7" s="19">
        <v>1</v>
      </c>
      <c r="W7" s="19">
        <v>2</v>
      </c>
      <c r="X7" s="19">
        <v>0</v>
      </c>
      <c r="Y7" s="19">
        <v>3</v>
      </c>
      <c r="Z7" s="19">
        <v>0</v>
      </c>
      <c r="AA7" s="26"/>
    </row>
    <row r="8" spans="1:27" s="8" customFormat="1" ht="17" customHeight="1">
      <c r="A8" s="23" t="s">
        <v>31</v>
      </c>
      <c r="B8" s="19">
        <v>4</v>
      </c>
      <c r="C8" s="19">
        <v>8</v>
      </c>
      <c r="D8" s="24">
        <v>9</v>
      </c>
      <c r="E8" s="19">
        <f t="shared" si="1"/>
        <v>1</v>
      </c>
      <c r="F8" s="19">
        <v>4</v>
      </c>
      <c r="G8" s="21">
        <v>4</v>
      </c>
      <c r="H8" s="19">
        <f t="shared" si="2"/>
        <v>0</v>
      </c>
      <c r="I8" s="19">
        <v>0</v>
      </c>
      <c r="J8" s="19">
        <v>0</v>
      </c>
      <c r="K8" s="19">
        <f t="shared" si="3"/>
        <v>0</v>
      </c>
      <c r="L8" s="19">
        <f t="shared" si="4"/>
        <v>4</v>
      </c>
      <c r="M8" s="19">
        <f t="shared" si="5"/>
        <v>4</v>
      </c>
      <c r="N8" s="19">
        <f t="shared" si="6"/>
        <v>0</v>
      </c>
      <c r="O8" s="22"/>
      <c r="P8" s="22"/>
      <c r="Q8" s="25">
        <v>9</v>
      </c>
      <c r="R8" s="19">
        <v>3</v>
      </c>
      <c r="S8" s="19">
        <v>0</v>
      </c>
      <c r="T8" s="19">
        <v>2</v>
      </c>
      <c r="U8" s="19">
        <v>1</v>
      </c>
      <c r="V8" s="19">
        <v>4</v>
      </c>
      <c r="W8" s="19">
        <v>4</v>
      </c>
      <c r="X8" s="19">
        <v>1</v>
      </c>
      <c r="Y8" s="19">
        <v>6</v>
      </c>
      <c r="Z8" s="4">
        <v>2</v>
      </c>
      <c r="AA8" s="26"/>
    </row>
    <row r="9" spans="1:27" s="8" customFormat="1" ht="17" customHeight="1">
      <c r="A9" s="23" t="s">
        <v>32</v>
      </c>
      <c r="B9" s="19">
        <v>2</v>
      </c>
      <c r="C9" s="19">
        <v>5</v>
      </c>
      <c r="D9" s="24">
        <v>6</v>
      </c>
      <c r="E9" s="19">
        <f t="shared" si="1"/>
        <v>1</v>
      </c>
      <c r="F9" s="19">
        <v>3</v>
      </c>
      <c r="G9" s="21">
        <v>3</v>
      </c>
      <c r="H9" s="19">
        <f t="shared" si="2"/>
        <v>0</v>
      </c>
      <c r="I9" s="19">
        <v>0</v>
      </c>
      <c r="J9" s="19">
        <v>0</v>
      </c>
      <c r="K9" s="19">
        <f t="shared" si="3"/>
        <v>0</v>
      </c>
      <c r="L9" s="19">
        <f t="shared" si="4"/>
        <v>3</v>
      </c>
      <c r="M9" s="19">
        <f t="shared" si="5"/>
        <v>3</v>
      </c>
      <c r="N9" s="19">
        <f t="shared" si="6"/>
        <v>0</v>
      </c>
      <c r="O9" s="22"/>
      <c r="P9" s="22"/>
      <c r="Q9" s="25">
        <v>5</v>
      </c>
      <c r="R9" s="19">
        <v>1</v>
      </c>
      <c r="S9" s="19">
        <v>2</v>
      </c>
      <c r="T9" s="19">
        <v>0</v>
      </c>
      <c r="U9" s="19">
        <v>0</v>
      </c>
      <c r="V9" s="19">
        <v>2</v>
      </c>
      <c r="W9" s="19">
        <v>3</v>
      </c>
      <c r="X9" s="19">
        <v>1</v>
      </c>
      <c r="Y9" s="19">
        <v>4</v>
      </c>
      <c r="Z9" s="19">
        <v>0</v>
      </c>
      <c r="AA9" s="26"/>
    </row>
    <row r="10" spans="1:27" s="8" customFormat="1" ht="17" customHeight="1">
      <c r="A10" s="23" t="s">
        <v>33</v>
      </c>
      <c r="B10" s="19">
        <v>5</v>
      </c>
      <c r="C10" s="19">
        <v>1</v>
      </c>
      <c r="D10" s="24">
        <v>2</v>
      </c>
      <c r="E10" s="19">
        <f t="shared" si="1"/>
        <v>1</v>
      </c>
      <c r="F10" s="19">
        <v>5</v>
      </c>
      <c r="G10" s="21">
        <v>7</v>
      </c>
      <c r="H10" s="19">
        <f t="shared" si="2"/>
        <v>2</v>
      </c>
      <c r="I10" s="19">
        <v>1</v>
      </c>
      <c r="J10" s="19">
        <v>2</v>
      </c>
      <c r="K10" s="19">
        <f t="shared" si="3"/>
        <v>1</v>
      </c>
      <c r="L10" s="19">
        <f t="shared" si="4"/>
        <v>4</v>
      </c>
      <c r="M10" s="19">
        <f t="shared" si="5"/>
        <v>5</v>
      </c>
      <c r="N10" s="19">
        <f t="shared" si="6"/>
        <v>1</v>
      </c>
      <c r="O10" s="22"/>
      <c r="P10" s="22"/>
      <c r="Q10" s="25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26"/>
    </row>
    <row r="11" spans="1:27" s="8" customFormat="1" ht="17" customHeight="1">
      <c r="A11" s="23" t="s">
        <v>34</v>
      </c>
      <c r="B11" s="19">
        <v>0</v>
      </c>
      <c r="C11" s="19">
        <v>0</v>
      </c>
      <c r="D11" s="24">
        <v>0</v>
      </c>
      <c r="E11" s="19">
        <f t="shared" si="1"/>
        <v>0</v>
      </c>
      <c r="F11" s="19">
        <v>0</v>
      </c>
      <c r="G11" s="21">
        <v>0</v>
      </c>
      <c r="H11" s="19">
        <f t="shared" si="2"/>
        <v>0</v>
      </c>
      <c r="I11" s="19">
        <v>0</v>
      </c>
      <c r="J11" s="19">
        <v>0</v>
      </c>
      <c r="K11" s="19">
        <f t="shared" si="3"/>
        <v>0</v>
      </c>
      <c r="L11" s="19">
        <f t="shared" si="4"/>
        <v>0</v>
      </c>
      <c r="M11" s="19">
        <f t="shared" si="5"/>
        <v>0</v>
      </c>
      <c r="N11" s="19">
        <f t="shared" si="6"/>
        <v>0</v>
      </c>
      <c r="O11" s="22"/>
      <c r="P11" s="22"/>
      <c r="Q11" s="25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26"/>
    </row>
    <row r="12" spans="1:27" s="8" customFormat="1" ht="17" customHeight="1">
      <c r="A12" s="23" t="s">
        <v>35</v>
      </c>
      <c r="B12" s="19">
        <v>0</v>
      </c>
      <c r="C12" s="19">
        <v>1</v>
      </c>
      <c r="D12" s="24">
        <v>1</v>
      </c>
      <c r="E12" s="19">
        <f t="shared" si="1"/>
        <v>0</v>
      </c>
      <c r="F12" s="19">
        <v>1</v>
      </c>
      <c r="G12" s="21">
        <v>1</v>
      </c>
      <c r="H12" s="19">
        <f t="shared" si="2"/>
        <v>0</v>
      </c>
      <c r="I12" s="19">
        <v>1</v>
      </c>
      <c r="J12" s="19">
        <v>1</v>
      </c>
      <c r="K12" s="19">
        <f t="shared" si="3"/>
        <v>0</v>
      </c>
      <c r="L12" s="19">
        <f t="shared" si="4"/>
        <v>0</v>
      </c>
      <c r="M12" s="19">
        <f t="shared" si="5"/>
        <v>0</v>
      </c>
      <c r="N12" s="19">
        <f t="shared" si="6"/>
        <v>0</v>
      </c>
      <c r="O12" s="22"/>
      <c r="P12" s="22"/>
      <c r="Q12" s="25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26"/>
    </row>
    <row r="13" spans="1:27" s="8" customFormat="1" ht="17" customHeight="1">
      <c r="A13" s="23" t="s">
        <v>36</v>
      </c>
      <c r="B13" s="19">
        <v>0</v>
      </c>
      <c r="C13" s="19">
        <v>3</v>
      </c>
      <c r="D13" s="24">
        <v>4</v>
      </c>
      <c r="E13" s="19">
        <f t="shared" si="1"/>
        <v>1</v>
      </c>
      <c r="F13" s="19">
        <v>2</v>
      </c>
      <c r="G13" s="21">
        <v>2</v>
      </c>
      <c r="H13" s="19">
        <f t="shared" si="2"/>
        <v>0</v>
      </c>
      <c r="I13" s="19">
        <v>1</v>
      </c>
      <c r="J13" s="19">
        <v>1</v>
      </c>
      <c r="K13" s="19">
        <f t="shared" si="3"/>
        <v>0</v>
      </c>
      <c r="L13" s="19">
        <f t="shared" si="4"/>
        <v>1</v>
      </c>
      <c r="M13" s="19">
        <f t="shared" si="5"/>
        <v>1</v>
      </c>
      <c r="N13" s="19">
        <f t="shared" si="6"/>
        <v>0</v>
      </c>
      <c r="O13" s="22"/>
      <c r="P13" s="22"/>
      <c r="Q13" s="25">
        <v>2</v>
      </c>
      <c r="R13" s="19">
        <v>1</v>
      </c>
      <c r="S13" s="19">
        <v>0</v>
      </c>
      <c r="T13" s="19">
        <v>0</v>
      </c>
      <c r="U13" s="19">
        <v>0</v>
      </c>
      <c r="V13" s="19">
        <v>2</v>
      </c>
      <c r="W13" s="19">
        <v>0</v>
      </c>
      <c r="X13" s="19">
        <v>0</v>
      </c>
      <c r="Y13" s="19">
        <v>1</v>
      </c>
      <c r="Z13" s="19">
        <v>1</v>
      </c>
      <c r="AA13" s="26"/>
    </row>
    <row r="14" spans="1:27" s="8" customFormat="1" ht="17" customHeight="1">
      <c r="A14" s="23" t="s">
        <v>37</v>
      </c>
      <c r="B14" s="19">
        <v>1</v>
      </c>
      <c r="C14" s="19">
        <v>2</v>
      </c>
      <c r="D14" s="24">
        <v>2</v>
      </c>
      <c r="E14" s="19">
        <f t="shared" si="1"/>
        <v>0</v>
      </c>
      <c r="F14" s="19">
        <v>1</v>
      </c>
      <c r="G14" s="21">
        <v>2</v>
      </c>
      <c r="H14" s="19">
        <f t="shared" si="2"/>
        <v>1</v>
      </c>
      <c r="I14" s="19">
        <v>0</v>
      </c>
      <c r="J14" s="19">
        <v>0</v>
      </c>
      <c r="K14" s="19">
        <f t="shared" si="3"/>
        <v>0</v>
      </c>
      <c r="L14" s="19">
        <f t="shared" si="4"/>
        <v>1</v>
      </c>
      <c r="M14" s="19">
        <f t="shared" si="5"/>
        <v>2</v>
      </c>
      <c r="N14" s="19">
        <f t="shared" si="6"/>
        <v>1</v>
      </c>
      <c r="O14" s="22"/>
      <c r="P14" s="22"/>
      <c r="Q14" s="25">
        <v>1</v>
      </c>
      <c r="R14" s="19">
        <v>1</v>
      </c>
      <c r="S14" s="19">
        <v>0</v>
      </c>
      <c r="T14" s="19">
        <v>0</v>
      </c>
      <c r="U14" s="19">
        <v>0</v>
      </c>
      <c r="V14" s="19">
        <v>1</v>
      </c>
      <c r="W14" s="19">
        <v>0</v>
      </c>
      <c r="X14" s="19">
        <v>0</v>
      </c>
      <c r="Y14" s="19">
        <v>1</v>
      </c>
      <c r="Z14" s="19">
        <v>0</v>
      </c>
      <c r="AA14" s="26"/>
    </row>
    <row r="15" spans="1:27" s="8" customFormat="1" ht="17" customHeight="1">
      <c r="A15" s="23" t="s">
        <v>38</v>
      </c>
      <c r="B15" s="19">
        <v>0</v>
      </c>
      <c r="C15" s="19">
        <v>2</v>
      </c>
      <c r="D15" s="24">
        <v>2</v>
      </c>
      <c r="E15" s="19">
        <f t="shared" si="1"/>
        <v>0</v>
      </c>
      <c r="F15" s="19">
        <v>0</v>
      </c>
      <c r="G15" s="21">
        <v>1</v>
      </c>
      <c r="H15" s="19">
        <f t="shared" si="2"/>
        <v>1</v>
      </c>
      <c r="I15" s="19">
        <v>0</v>
      </c>
      <c r="J15" s="19">
        <v>1</v>
      </c>
      <c r="K15" s="19">
        <f t="shared" si="3"/>
        <v>1</v>
      </c>
      <c r="L15" s="19">
        <f t="shared" si="4"/>
        <v>0</v>
      </c>
      <c r="M15" s="19">
        <f t="shared" si="5"/>
        <v>0</v>
      </c>
      <c r="N15" s="19">
        <f t="shared" si="6"/>
        <v>0</v>
      </c>
      <c r="O15" s="22"/>
      <c r="P15" s="22"/>
      <c r="Q15" s="25">
        <v>1</v>
      </c>
      <c r="R15" s="19">
        <v>0</v>
      </c>
      <c r="S15" s="19">
        <v>1</v>
      </c>
      <c r="T15" s="19">
        <v>0</v>
      </c>
      <c r="U15" s="19">
        <v>0</v>
      </c>
      <c r="V15" s="19">
        <v>1</v>
      </c>
      <c r="W15" s="19">
        <v>0</v>
      </c>
      <c r="X15" s="19">
        <v>0</v>
      </c>
      <c r="Y15" s="19">
        <v>1</v>
      </c>
      <c r="Z15" s="19">
        <v>0</v>
      </c>
      <c r="AA15" s="26"/>
    </row>
    <row r="16" spans="1:27" s="8" customFormat="1" ht="17" customHeight="1">
      <c r="A16" s="23" t="s">
        <v>39</v>
      </c>
      <c r="B16" s="19">
        <v>2</v>
      </c>
      <c r="C16" s="19">
        <v>3</v>
      </c>
      <c r="D16" s="24">
        <v>3</v>
      </c>
      <c r="E16" s="19">
        <f t="shared" si="1"/>
        <v>0</v>
      </c>
      <c r="F16" s="19">
        <v>2</v>
      </c>
      <c r="G16" s="21">
        <v>2</v>
      </c>
      <c r="H16" s="19">
        <f t="shared" si="2"/>
        <v>0</v>
      </c>
      <c r="I16" s="19">
        <v>0</v>
      </c>
      <c r="J16" s="19">
        <v>0</v>
      </c>
      <c r="K16" s="19">
        <f t="shared" si="3"/>
        <v>0</v>
      </c>
      <c r="L16" s="19">
        <f t="shared" si="4"/>
        <v>2</v>
      </c>
      <c r="M16" s="19">
        <f t="shared" si="5"/>
        <v>2</v>
      </c>
      <c r="N16" s="19">
        <f t="shared" si="6"/>
        <v>0</v>
      </c>
      <c r="O16" s="22"/>
      <c r="P16" s="22"/>
      <c r="Q16" s="25">
        <v>3</v>
      </c>
      <c r="R16" s="19">
        <v>1</v>
      </c>
      <c r="S16" s="19">
        <v>0</v>
      </c>
      <c r="T16" s="19">
        <v>2</v>
      </c>
      <c r="U16" s="19">
        <v>0</v>
      </c>
      <c r="V16" s="19">
        <v>0</v>
      </c>
      <c r="W16" s="19">
        <v>3</v>
      </c>
      <c r="X16" s="19">
        <v>0</v>
      </c>
      <c r="Y16" s="19">
        <v>2</v>
      </c>
      <c r="Z16" s="19">
        <v>1</v>
      </c>
      <c r="AA16" s="26"/>
    </row>
    <row r="17" spans="1:45" s="8" customFormat="1" ht="17" customHeight="1">
      <c r="A17" s="23" t="s">
        <v>40</v>
      </c>
      <c r="B17" s="19">
        <v>1</v>
      </c>
      <c r="C17" s="19">
        <v>2</v>
      </c>
      <c r="D17" s="24">
        <v>2</v>
      </c>
      <c r="E17" s="19">
        <f t="shared" si="1"/>
        <v>0</v>
      </c>
      <c r="F17" s="19">
        <v>0</v>
      </c>
      <c r="G17" s="21">
        <v>0</v>
      </c>
      <c r="H17" s="19">
        <f t="shared" si="2"/>
        <v>0</v>
      </c>
      <c r="I17" s="19">
        <v>0</v>
      </c>
      <c r="J17" s="19">
        <v>0</v>
      </c>
      <c r="K17" s="19">
        <f t="shared" si="3"/>
        <v>0</v>
      </c>
      <c r="L17" s="19">
        <f t="shared" si="4"/>
        <v>0</v>
      </c>
      <c r="M17" s="19">
        <f t="shared" si="5"/>
        <v>0</v>
      </c>
      <c r="N17" s="19">
        <f t="shared" si="6"/>
        <v>0</v>
      </c>
      <c r="O17" s="22"/>
      <c r="P17" s="22"/>
      <c r="Q17" s="25">
        <v>3</v>
      </c>
      <c r="R17" s="19">
        <v>2</v>
      </c>
      <c r="S17" s="19">
        <v>0</v>
      </c>
      <c r="T17" s="19">
        <v>0</v>
      </c>
      <c r="U17" s="19">
        <v>1</v>
      </c>
      <c r="V17" s="19">
        <v>2</v>
      </c>
      <c r="W17" s="19">
        <v>0</v>
      </c>
      <c r="X17" s="19">
        <v>0</v>
      </c>
      <c r="Y17" s="19">
        <v>3</v>
      </c>
      <c r="Z17" s="19">
        <v>0</v>
      </c>
      <c r="AA17" s="26"/>
    </row>
    <row r="18" spans="1:45" s="8" customFormat="1" ht="17" customHeight="1">
      <c r="A18" s="23" t="s">
        <v>41</v>
      </c>
      <c r="B18" s="19">
        <v>1</v>
      </c>
      <c r="C18" s="19">
        <v>2</v>
      </c>
      <c r="D18" s="24">
        <v>2</v>
      </c>
      <c r="E18" s="19">
        <f t="shared" si="1"/>
        <v>0</v>
      </c>
      <c r="F18" s="19">
        <v>1</v>
      </c>
      <c r="G18" s="21">
        <v>1</v>
      </c>
      <c r="H18" s="19">
        <f t="shared" si="2"/>
        <v>0</v>
      </c>
      <c r="I18" s="19">
        <v>0</v>
      </c>
      <c r="J18" s="19">
        <v>0</v>
      </c>
      <c r="K18" s="19">
        <f t="shared" si="3"/>
        <v>0</v>
      </c>
      <c r="L18" s="19">
        <f t="shared" si="4"/>
        <v>1</v>
      </c>
      <c r="M18" s="19">
        <f t="shared" si="5"/>
        <v>1</v>
      </c>
      <c r="N18" s="19">
        <f t="shared" si="6"/>
        <v>0</v>
      </c>
      <c r="O18" s="22"/>
      <c r="P18" s="22"/>
      <c r="Q18" s="25">
        <v>2</v>
      </c>
      <c r="R18" s="19">
        <v>2</v>
      </c>
      <c r="S18" s="19">
        <v>0</v>
      </c>
      <c r="T18" s="19">
        <v>0</v>
      </c>
      <c r="U18" s="19">
        <v>0</v>
      </c>
      <c r="V18" s="19">
        <v>1</v>
      </c>
      <c r="W18" s="19">
        <v>1</v>
      </c>
      <c r="X18" s="19">
        <v>0</v>
      </c>
      <c r="Y18" s="19">
        <v>2</v>
      </c>
      <c r="Z18" s="19">
        <v>0</v>
      </c>
      <c r="AA18" s="26"/>
    </row>
    <row r="19" spans="1:45" s="8" customFormat="1" ht="17" customHeight="1">
      <c r="A19" s="23" t="s">
        <v>42</v>
      </c>
      <c r="B19" s="19">
        <v>1</v>
      </c>
      <c r="C19" s="19">
        <v>3</v>
      </c>
      <c r="D19" s="24">
        <v>3</v>
      </c>
      <c r="E19" s="19">
        <f t="shared" si="1"/>
        <v>0</v>
      </c>
      <c r="F19" s="19">
        <v>2</v>
      </c>
      <c r="G19" s="21">
        <v>2</v>
      </c>
      <c r="H19" s="19">
        <f t="shared" si="2"/>
        <v>0</v>
      </c>
      <c r="I19" s="19">
        <v>1</v>
      </c>
      <c r="J19" s="19">
        <v>1</v>
      </c>
      <c r="K19" s="19">
        <f t="shared" si="3"/>
        <v>0</v>
      </c>
      <c r="L19" s="19">
        <f t="shared" si="4"/>
        <v>1</v>
      </c>
      <c r="M19" s="19">
        <f t="shared" si="5"/>
        <v>1</v>
      </c>
      <c r="N19" s="19">
        <f t="shared" si="6"/>
        <v>0</v>
      </c>
      <c r="O19" s="22"/>
      <c r="P19" s="22"/>
      <c r="Q19" s="25">
        <v>2</v>
      </c>
      <c r="R19" s="19">
        <v>1</v>
      </c>
      <c r="S19" s="19">
        <v>0</v>
      </c>
      <c r="T19" s="19">
        <v>0</v>
      </c>
      <c r="U19" s="19">
        <v>1</v>
      </c>
      <c r="V19" s="19">
        <v>1</v>
      </c>
      <c r="W19" s="19">
        <v>0</v>
      </c>
      <c r="X19" s="19">
        <v>0</v>
      </c>
      <c r="Y19" s="19">
        <v>1</v>
      </c>
      <c r="Z19" s="4">
        <v>1</v>
      </c>
      <c r="AA19" s="26"/>
    </row>
    <row r="20" spans="1:45" s="8" customFormat="1" ht="17" customHeight="1">
      <c r="A20" s="23" t="s">
        <v>43</v>
      </c>
      <c r="B20" s="19">
        <v>1</v>
      </c>
      <c r="C20" s="19">
        <v>5</v>
      </c>
      <c r="D20" s="24">
        <v>6</v>
      </c>
      <c r="E20" s="19">
        <f t="shared" si="1"/>
        <v>1</v>
      </c>
      <c r="F20" s="19">
        <v>4</v>
      </c>
      <c r="G20" s="21">
        <v>4</v>
      </c>
      <c r="H20" s="19">
        <f t="shared" si="2"/>
        <v>0</v>
      </c>
      <c r="I20" s="19">
        <v>3</v>
      </c>
      <c r="J20" s="19">
        <v>3</v>
      </c>
      <c r="K20" s="19">
        <f t="shared" si="3"/>
        <v>0</v>
      </c>
      <c r="L20" s="19">
        <f t="shared" si="4"/>
        <v>1</v>
      </c>
      <c r="M20" s="19">
        <f t="shared" si="5"/>
        <v>1</v>
      </c>
      <c r="N20" s="19">
        <f t="shared" si="6"/>
        <v>0</v>
      </c>
      <c r="O20" s="22"/>
      <c r="P20" s="22"/>
      <c r="Q20" s="25">
        <v>3</v>
      </c>
      <c r="R20" s="19">
        <v>1</v>
      </c>
      <c r="S20" s="19">
        <v>0</v>
      </c>
      <c r="T20" s="19">
        <v>0</v>
      </c>
      <c r="U20" s="19">
        <v>0</v>
      </c>
      <c r="V20" s="19">
        <v>1</v>
      </c>
      <c r="W20" s="19">
        <v>2</v>
      </c>
      <c r="X20" s="19">
        <v>0</v>
      </c>
      <c r="Y20" s="19">
        <v>2</v>
      </c>
      <c r="Z20" s="19">
        <v>1</v>
      </c>
      <c r="AA20" s="26"/>
    </row>
    <row r="21" spans="1:45" s="8" customFormat="1" ht="17" customHeight="1">
      <c r="A21" s="23" t="s">
        <v>44</v>
      </c>
      <c r="B21" s="19">
        <v>2</v>
      </c>
      <c r="C21" s="19">
        <v>1</v>
      </c>
      <c r="D21" s="24">
        <v>1</v>
      </c>
      <c r="E21" s="19">
        <f t="shared" si="1"/>
        <v>0</v>
      </c>
      <c r="F21" s="19">
        <v>2</v>
      </c>
      <c r="G21" s="21">
        <v>2</v>
      </c>
      <c r="H21" s="19">
        <f t="shared" si="2"/>
        <v>0</v>
      </c>
      <c r="I21" s="19">
        <v>1</v>
      </c>
      <c r="J21" s="19">
        <v>1</v>
      </c>
      <c r="K21" s="19">
        <f t="shared" si="3"/>
        <v>0</v>
      </c>
      <c r="L21" s="19">
        <f t="shared" si="4"/>
        <v>1</v>
      </c>
      <c r="M21" s="19">
        <f t="shared" si="5"/>
        <v>1</v>
      </c>
      <c r="N21" s="19">
        <f t="shared" si="6"/>
        <v>0</v>
      </c>
      <c r="O21" s="22"/>
      <c r="P21" s="22"/>
      <c r="Q21" s="25">
        <v>1</v>
      </c>
      <c r="R21" s="19">
        <v>0</v>
      </c>
      <c r="S21" s="19">
        <v>0</v>
      </c>
      <c r="T21" s="19">
        <v>0</v>
      </c>
      <c r="U21" s="19">
        <v>0</v>
      </c>
      <c r="V21" s="19">
        <v>1</v>
      </c>
      <c r="W21" s="19">
        <v>0</v>
      </c>
      <c r="X21" s="19">
        <v>0</v>
      </c>
      <c r="Y21" s="19">
        <v>1</v>
      </c>
      <c r="Z21" s="19">
        <v>0</v>
      </c>
      <c r="AA21" s="26"/>
    </row>
    <row r="22" spans="1:45" s="8" customFormat="1" ht="17" customHeight="1">
      <c r="A22" s="18" t="s">
        <v>45</v>
      </c>
      <c r="B22" s="19">
        <v>3</v>
      </c>
      <c r="C22" s="19">
        <v>4</v>
      </c>
      <c r="D22" s="24">
        <v>7</v>
      </c>
      <c r="E22" s="19">
        <f t="shared" si="1"/>
        <v>3</v>
      </c>
      <c r="F22" s="19">
        <v>2</v>
      </c>
      <c r="G22" s="21">
        <v>4</v>
      </c>
      <c r="H22" s="19">
        <f t="shared" si="2"/>
        <v>2</v>
      </c>
      <c r="I22" s="4">
        <v>0</v>
      </c>
      <c r="J22" s="4">
        <v>1</v>
      </c>
      <c r="K22" s="19">
        <f t="shared" si="3"/>
        <v>1</v>
      </c>
      <c r="L22" s="19">
        <f t="shared" si="4"/>
        <v>2</v>
      </c>
      <c r="M22" s="19">
        <f t="shared" si="5"/>
        <v>3</v>
      </c>
      <c r="N22" s="19">
        <f t="shared" si="6"/>
        <v>1</v>
      </c>
      <c r="O22" s="22"/>
      <c r="P22" s="22"/>
      <c r="Q22" s="25">
        <v>6</v>
      </c>
      <c r="R22" s="19">
        <v>4</v>
      </c>
      <c r="S22" s="19">
        <v>0</v>
      </c>
      <c r="T22" s="19">
        <v>0</v>
      </c>
      <c r="U22" s="19">
        <v>2</v>
      </c>
      <c r="V22" s="4">
        <v>1</v>
      </c>
      <c r="W22" s="19">
        <v>3</v>
      </c>
      <c r="X22" s="19">
        <v>1</v>
      </c>
      <c r="Y22" s="19">
        <v>4</v>
      </c>
      <c r="Z22" s="4">
        <v>1</v>
      </c>
      <c r="AA22" s="26"/>
    </row>
    <row r="23" spans="1:45" s="8" customFormat="1" ht="17" customHeight="1">
      <c r="A23" s="23" t="s">
        <v>46</v>
      </c>
      <c r="B23" s="19">
        <v>3</v>
      </c>
      <c r="C23" s="19">
        <v>6</v>
      </c>
      <c r="D23" s="24">
        <v>6</v>
      </c>
      <c r="E23" s="19">
        <f t="shared" si="1"/>
        <v>0</v>
      </c>
      <c r="F23" s="19">
        <v>6</v>
      </c>
      <c r="G23" s="21">
        <v>6</v>
      </c>
      <c r="H23" s="19">
        <f t="shared" si="2"/>
        <v>0</v>
      </c>
      <c r="I23" s="19">
        <v>1</v>
      </c>
      <c r="J23" s="19">
        <v>1</v>
      </c>
      <c r="K23" s="19">
        <f t="shared" si="3"/>
        <v>0</v>
      </c>
      <c r="L23" s="19">
        <f t="shared" si="4"/>
        <v>5</v>
      </c>
      <c r="M23" s="19">
        <f t="shared" si="5"/>
        <v>5</v>
      </c>
      <c r="N23" s="19">
        <f t="shared" si="6"/>
        <v>0</v>
      </c>
      <c r="O23" s="22">
        <v>1</v>
      </c>
      <c r="P23" s="22"/>
      <c r="Q23" s="25">
        <v>3</v>
      </c>
      <c r="R23" s="19">
        <v>0</v>
      </c>
      <c r="S23" s="19">
        <v>0</v>
      </c>
      <c r="T23" s="19">
        <v>0</v>
      </c>
      <c r="U23" s="19">
        <v>0</v>
      </c>
      <c r="V23" s="19">
        <v>3</v>
      </c>
      <c r="W23" s="19">
        <v>0</v>
      </c>
      <c r="X23" s="19">
        <v>0</v>
      </c>
      <c r="Y23" s="19">
        <v>1</v>
      </c>
      <c r="Z23" s="4">
        <v>2</v>
      </c>
      <c r="AA23" s="26"/>
    </row>
    <row r="24" spans="1:45" s="8" customFormat="1" ht="17" customHeight="1">
      <c r="A24" s="23" t="s">
        <v>47</v>
      </c>
      <c r="B24" s="19">
        <v>2</v>
      </c>
      <c r="C24" s="19">
        <v>1</v>
      </c>
      <c r="D24" s="24">
        <v>1</v>
      </c>
      <c r="E24" s="19">
        <f t="shared" si="1"/>
        <v>0</v>
      </c>
      <c r="F24" s="19">
        <v>3</v>
      </c>
      <c r="G24" s="21">
        <v>3</v>
      </c>
      <c r="H24" s="19">
        <f t="shared" si="2"/>
        <v>0</v>
      </c>
      <c r="I24" s="19">
        <v>1</v>
      </c>
      <c r="J24" s="19">
        <v>1</v>
      </c>
      <c r="K24" s="19">
        <f t="shared" si="3"/>
        <v>0</v>
      </c>
      <c r="L24" s="19">
        <f t="shared" si="4"/>
        <v>2</v>
      </c>
      <c r="M24" s="19">
        <f t="shared" si="5"/>
        <v>2</v>
      </c>
      <c r="N24" s="19">
        <f t="shared" si="6"/>
        <v>0</v>
      </c>
      <c r="O24" s="22"/>
      <c r="P24" s="22"/>
      <c r="Q24" s="25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26"/>
    </row>
    <row r="25" spans="1:45" s="8" customFormat="1" ht="14">
      <c r="A25" s="23" t="s">
        <v>48</v>
      </c>
      <c r="B25" s="19">
        <v>9</v>
      </c>
      <c r="C25" s="19">
        <v>22</v>
      </c>
      <c r="D25" s="24">
        <v>24</v>
      </c>
      <c r="E25" s="19">
        <f t="shared" si="1"/>
        <v>2</v>
      </c>
      <c r="F25" s="19">
        <v>19</v>
      </c>
      <c r="G25" s="21">
        <v>23</v>
      </c>
      <c r="H25" s="19">
        <f t="shared" si="2"/>
        <v>4</v>
      </c>
      <c r="I25" s="19">
        <v>7</v>
      </c>
      <c r="J25" s="19">
        <v>8</v>
      </c>
      <c r="K25" s="19">
        <f t="shared" si="3"/>
        <v>1</v>
      </c>
      <c r="L25" s="19">
        <f t="shared" si="4"/>
        <v>12</v>
      </c>
      <c r="M25" s="19">
        <f t="shared" si="5"/>
        <v>15</v>
      </c>
      <c r="N25" s="19">
        <f t="shared" si="6"/>
        <v>3</v>
      </c>
      <c r="O25" s="22"/>
      <c r="P25" s="22"/>
      <c r="Q25" s="25">
        <v>10</v>
      </c>
      <c r="R25" s="19">
        <v>5</v>
      </c>
      <c r="S25" s="19">
        <v>0</v>
      </c>
      <c r="T25" s="19">
        <v>0</v>
      </c>
      <c r="U25" s="19">
        <v>2</v>
      </c>
      <c r="V25" s="19">
        <v>4</v>
      </c>
      <c r="W25" s="19">
        <v>4</v>
      </c>
      <c r="X25" s="19">
        <v>1</v>
      </c>
      <c r="Y25" s="19">
        <v>9</v>
      </c>
      <c r="Z25" s="19">
        <v>0</v>
      </c>
      <c r="AA25" s="26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</row>
    <row r="26" spans="1:45" s="8" customFormat="1" ht="14">
      <c r="A26" s="23" t="s">
        <v>49</v>
      </c>
      <c r="B26" s="19">
        <v>3</v>
      </c>
      <c r="C26" s="19">
        <v>12</v>
      </c>
      <c r="D26" s="24">
        <v>13</v>
      </c>
      <c r="E26" s="19">
        <f t="shared" si="1"/>
        <v>1</v>
      </c>
      <c r="F26" s="19">
        <v>6</v>
      </c>
      <c r="G26" s="21">
        <v>10</v>
      </c>
      <c r="H26" s="19">
        <f t="shared" si="2"/>
        <v>4</v>
      </c>
      <c r="I26" s="19">
        <v>3</v>
      </c>
      <c r="J26" s="19">
        <v>5</v>
      </c>
      <c r="K26" s="19">
        <f t="shared" si="3"/>
        <v>2</v>
      </c>
      <c r="L26" s="19">
        <f t="shared" si="4"/>
        <v>3</v>
      </c>
      <c r="M26" s="19">
        <f t="shared" si="5"/>
        <v>5</v>
      </c>
      <c r="N26" s="19">
        <f t="shared" si="6"/>
        <v>2</v>
      </c>
      <c r="O26" s="22"/>
      <c r="P26" s="22"/>
      <c r="Q26" s="25">
        <v>6</v>
      </c>
      <c r="R26" s="19">
        <v>2</v>
      </c>
      <c r="S26" s="19">
        <v>2</v>
      </c>
      <c r="T26" s="19">
        <v>1</v>
      </c>
      <c r="U26" s="19">
        <v>1</v>
      </c>
      <c r="V26" s="19">
        <v>1</v>
      </c>
      <c r="W26" s="19">
        <v>4</v>
      </c>
      <c r="X26" s="19">
        <v>1</v>
      </c>
      <c r="Y26" s="19">
        <v>4</v>
      </c>
      <c r="Z26" s="19">
        <v>1</v>
      </c>
      <c r="AA26" s="26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</row>
    <row r="27" spans="1:45" s="8" customFormat="1" ht="15">
      <c r="A27" s="29" t="s">
        <v>50</v>
      </c>
      <c r="B27" s="19">
        <v>3</v>
      </c>
      <c r="C27" s="19">
        <v>10</v>
      </c>
      <c r="D27" s="24">
        <v>10</v>
      </c>
      <c r="E27" s="19">
        <f t="shared" si="1"/>
        <v>0</v>
      </c>
      <c r="F27" s="19">
        <v>4</v>
      </c>
      <c r="G27" s="21">
        <v>5</v>
      </c>
      <c r="H27" s="19">
        <f t="shared" si="2"/>
        <v>1</v>
      </c>
      <c r="I27" s="19">
        <v>0</v>
      </c>
      <c r="J27" s="19">
        <v>1</v>
      </c>
      <c r="K27" s="19">
        <f t="shared" si="3"/>
        <v>1</v>
      </c>
      <c r="L27" s="19">
        <f t="shared" si="4"/>
        <v>4</v>
      </c>
      <c r="M27" s="19">
        <f t="shared" si="5"/>
        <v>4</v>
      </c>
      <c r="N27" s="19">
        <f t="shared" si="6"/>
        <v>0</v>
      </c>
      <c r="O27" s="22"/>
      <c r="P27" s="22"/>
      <c r="Q27" s="25">
        <v>8</v>
      </c>
      <c r="R27" s="19">
        <v>4</v>
      </c>
      <c r="S27" s="19">
        <v>1</v>
      </c>
      <c r="T27" s="19">
        <v>1</v>
      </c>
      <c r="U27" s="19">
        <v>1</v>
      </c>
      <c r="V27" s="19">
        <v>1</v>
      </c>
      <c r="W27" s="19">
        <v>6</v>
      </c>
      <c r="X27" s="19">
        <v>2</v>
      </c>
      <c r="Y27" s="19">
        <v>2</v>
      </c>
      <c r="Z27" s="19">
        <v>4</v>
      </c>
      <c r="AA27" s="26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</row>
    <row r="28" spans="1:45" ht="20">
      <c r="A28" s="30"/>
      <c r="B28" s="31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45" ht="20">
      <c r="A29" s="30"/>
      <c r="B29" s="31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45" ht="20">
      <c r="A30" s="30"/>
      <c r="B30" s="31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45" ht="20">
      <c r="A31" s="33"/>
      <c r="B31" s="34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45" ht="20">
      <c r="A32" s="30"/>
      <c r="B32" s="31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1:27" ht="20">
      <c r="A33" s="30"/>
      <c r="B33" s="31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1:27" ht="20">
      <c r="A34" s="30"/>
      <c r="B34" s="31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1:27" ht="20">
      <c r="A35" s="30"/>
      <c r="B35" s="31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1:27" ht="20">
      <c r="A36" s="30"/>
      <c r="B36" s="31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1:27" ht="20">
      <c r="A37" s="30"/>
      <c r="B37" s="31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</sheetData>
  <mergeCells count="15">
    <mergeCell ref="S2:S3"/>
    <mergeCell ref="T2:T3"/>
    <mergeCell ref="U2:W2"/>
    <mergeCell ref="X2:Z2"/>
    <mergeCell ref="AA2:AA3"/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</mergeCells>
  <pageMargins left="0.59015748031496063" right="0.19645669291338583" top="0.78740157480314954" bottom="0.59015748031496051" header="0.39370078740157477" footer="0.19645669291338583"/>
  <pageSetup paperSize="0" scale="60" fitToWidth="0" fitToHeight="0" orientation="landscape" horizontalDpi="0" verticalDpi="0" copies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D78D4-9C51-244C-9A40-033F1DC7BC4C}">
  <dimension ref="A1:XFD37"/>
  <sheetViews>
    <sheetView workbookViewId="0"/>
  </sheetViews>
  <sheetFormatPr baseColWidth="10" defaultRowHeight="13.75"/>
  <cols>
    <col min="1" max="1" width="21" style="3" customWidth="1"/>
    <col min="2" max="2" width="8.6640625" style="35" customWidth="1"/>
    <col min="3" max="10" width="7" style="3" customWidth="1"/>
    <col min="11" max="11" width="6.33203125" style="3" customWidth="1"/>
    <col min="12" max="12" width="6" style="3" customWidth="1"/>
    <col min="13" max="13" width="6.5546875" style="3" customWidth="1"/>
    <col min="14" max="14" width="7.44140625" style="3" customWidth="1"/>
    <col min="15" max="15" width="7.6640625" style="3" customWidth="1"/>
    <col min="16" max="16" width="7" style="3" customWidth="1"/>
    <col min="17" max="17" width="7" style="35" customWidth="1"/>
    <col min="18" max="18" width="6.33203125" style="35" customWidth="1"/>
    <col min="19" max="19" width="6" style="35" customWidth="1"/>
    <col min="20" max="20" width="5.33203125" style="35" customWidth="1"/>
    <col min="21" max="21" width="6.5546875" style="35" customWidth="1"/>
    <col min="22" max="22" width="7.44140625" style="35" customWidth="1"/>
    <col min="23" max="23" width="6.109375" style="35" customWidth="1"/>
    <col min="24" max="24" width="6.6640625" style="35" customWidth="1"/>
    <col min="25" max="25" width="7.109375" style="35" customWidth="1"/>
    <col min="26" max="26" width="7.44140625" style="35" customWidth="1"/>
    <col min="27" max="27" width="107.6640625" style="35" customWidth="1"/>
    <col min="28" max="29" width="7.5546875" style="3" customWidth="1"/>
    <col min="30" max="30" width="10.109375" style="3" customWidth="1"/>
    <col min="31" max="45" width="7.5546875" style="3" customWidth="1"/>
    <col min="46" max="1022" width="9.44140625" style="3" customWidth="1"/>
  </cols>
  <sheetData>
    <row r="1" spans="1:27" ht="20">
      <c r="A1" s="36" t="s">
        <v>60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1"/>
      <c r="P1" s="1"/>
      <c r="Q1" s="37" t="s">
        <v>1</v>
      </c>
      <c r="R1" s="37"/>
      <c r="S1" s="37"/>
      <c r="T1" s="37"/>
      <c r="U1" s="37"/>
      <c r="V1" s="37"/>
      <c r="W1" s="37"/>
      <c r="X1" s="37"/>
      <c r="Y1" s="37"/>
      <c r="Z1" s="37"/>
      <c r="AA1" s="2"/>
    </row>
    <row r="2" spans="1:27" s="8" customFormat="1" ht="46.5" customHeight="1">
      <c r="A2" s="38"/>
      <c r="B2" s="39" t="s">
        <v>2</v>
      </c>
      <c r="C2" s="40" t="s">
        <v>3</v>
      </c>
      <c r="D2" s="40"/>
      <c r="E2" s="40"/>
      <c r="F2" s="41" t="s">
        <v>4</v>
      </c>
      <c r="G2" s="41"/>
      <c r="H2" s="41"/>
      <c r="I2" s="39" t="s">
        <v>5</v>
      </c>
      <c r="J2" s="39"/>
      <c r="K2" s="39"/>
      <c r="L2" s="39"/>
      <c r="M2" s="39"/>
      <c r="N2" s="39"/>
      <c r="O2" s="42" t="s">
        <v>6</v>
      </c>
      <c r="P2" s="42"/>
      <c r="Q2" s="43" t="s">
        <v>7</v>
      </c>
      <c r="R2" s="39" t="s">
        <v>8</v>
      </c>
      <c r="S2" s="39" t="s">
        <v>9</v>
      </c>
      <c r="T2" s="44" t="s">
        <v>10</v>
      </c>
      <c r="U2" s="39" t="s">
        <v>11</v>
      </c>
      <c r="V2" s="39"/>
      <c r="W2" s="39"/>
      <c r="X2" s="39" t="s">
        <v>12</v>
      </c>
      <c r="Y2" s="39"/>
      <c r="Z2" s="39"/>
      <c r="AA2" s="39" t="s">
        <v>13</v>
      </c>
    </row>
    <row r="3" spans="1:27" s="11" customFormat="1" ht="58.75" customHeight="1">
      <c r="A3" s="38"/>
      <c r="B3" s="39"/>
      <c r="C3" s="5" t="s">
        <v>14</v>
      </c>
      <c r="D3" s="6" t="s">
        <v>7</v>
      </c>
      <c r="E3" s="5" t="s">
        <v>58</v>
      </c>
      <c r="F3" s="5" t="s">
        <v>14</v>
      </c>
      <c r="G3" s="7" t="s">
        <v>7</v>
      </c>
      <c r="H3" s="5" t="s">
        <v>58</v>
      </c>
      <c r="I3" s="5" t="s">
        <v>14</v>
      </c>
      <c r="J3" s="5" t="s">
        <v>16</v>
      </c>
      <c r="K3" s="5" t="s">
        <v>58</v>
      </c>
      <c r="L3" s="5" t="s">
        <v>14</v>
      </c>
      <c r="M3" s="5" t="s">
        <v>17</v>
      </c>
      <c r="N3" s="5" t="s">
        <v>58</v>
      </c>
      <c r="O3" s="9" t="s">
        <v>18</v>
      </c>
      <c r="P3" s="9" t="s">
        <v>19</v>
      </c>
      <c r="Q3" s="43"/>
      <c r="R3" s="39"/>
      <c r="S3" s="39"/>
      <c r="T3" s="44"/>
      <c r="U3" s="10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39"/>
    </row>
    <row r="4" spans="1:27" s="8" customFormat="1" ht="17" customHeight="1">
      <c r="A4" s="12" t="s">
        <v>26</v>
      </c>
      <c r="B4" s="13">
        <f t="shared" ref="B4:Z4" si="0">SUM(B6:B27)</f>
        <v>53</v>
      </c>
      <c r="C4" s="13">
        <f t="shared" si="0"/>
        <v>113</v>
      </c>
      <c r="D4" s="14">
        <f t="shared" si="0"/>
        <v>121</v>
      </c>
      <c r="E4" s="13">
        <f t="shared" si="0"/>
        <v>8</v>
      </c>
      <c r="F4" s="13">
        <f t="shared" si="0"/>
        <v>87</v>
      </c>
      <c r="G4" s="15">
        <f t="shared" si="0"/>
        <v>99</v>
      </c>
      <c r="H4" s="13">
        <f t="shared" si="0"/>
        <v>12</v>
      </c>
      <c r="I4" s="13">
        <f t="shared" si="0"/>
        <v>29</v>
      </c>
      <c r="J4" s="13">
        <f t="shared" si="0"/>
        <v>34</v>
      </c>
      <c r="K4" s="13">
        <f t="shared" si="0"/>
        <v>5</v>
      </c>
      <c r="L4" s="13">
        <f t="shared" si="0"/>
        <v>58</v>
      </c>
      <c r="M4" s="13">
        <f t="shared" si="0"/>
        <v>65</v>
      </c>
      <c r="N4" s="13">
        <f t="shared" si="0"/>
        <v>7</v>
      </c>
      <c r="O4" s="16">
        <f t="shared" si="0"/>
        <v>1</v>
      </c>
      <c r="P4" s="16">
        <f t="shared" si="0"/>
        <v>0</v>
      </c>
      <c r="Q4" s="17">
        <f t="shared" si="0"/>
        <v>75</v>
      </c>
      <c r="R4" s="13">
        <f t="shared" si="0"/>
        <v>27</v>
      </c>
      <c r="S4" s="13">
        <f t="shared" si="0"/>
        <v>10</v>
      </c>
      <c r="T4" s="13">
        <f t="shared" si="0"/>
        <v>7</v>
      </c>
      <c r="U4" s="13">
        <f t="shared" si="0"/>
        <v>12</v>
      </c>
      <c r="V4" s="13">
        <f t="shared" si="0"/>
        <v>30</v>
      </c>
      <c r="W4" s="13">
        <f t="shared" si="0"/>
        <v>33</v>
      </c>
      <c r="X4" s="13">
        <f t="shared" si="0"/>
        <v>7</v>
      </c>
      <c r="Y4" s="13">
        <f t="shared" si="0"/>
        <v>53</v>
      </c>
      <c r="Z4" s="13">
        <f t="shared" si="0"/>
        <v>15</v>
      </c>
      <c r="AA4" s="13" t="s">
        <v>27</v>
      </c>
    </row>
    <row r="5" spans="1:27" s="8" customFormat="1" ht="16.5" customHeight="1">
      <c r="A5" s="18" t="s">
        <v>28</v>
      </c>
      <c r="B5" s="19"/>
      <c r="C5" s="13"/>
      <c r="D5" s="14"/>
      <c r="E5" s="13"/>
      <c r="F5" s="13"/>
      <c r="G5" s="21"/>
      <c r="H5" s="19"/>
      <c r="I5" s="19"/>
      <c r="J5" s="19"/>
      <c r="K5" s="19"/>
      <c r="L5" s="19"/>
      <c r="M5" s="19"/>
      <c r="N5" s="19"/>
      <c r="O5" s="22"/>
      <c r="P5" s="22"/>
      <c r="Q5" s="17"/>
      <c r="R5" s="13"/>
      <c r="S5" s="19"/>
      <c r="T5" s="19"/>
      <c r="U5" s="19"/>
      <c r="V5" s="19"/>
      <c r="W5" s="13"/>
      <c r="X5" s="19"/>
      <c r="Y5" s="19"/>
      <c r="Z5" s="19"/>
      <c r="AA5" s="19"/>
    </row>
    <row r="6" spans="1:27" s="8" customFormat="1" ht="17" customHeight="1">
      <c r="A6" s="23" t="s">
        <v>29</v>
      </c>
      <c r="B6" s="19">
        <v>7</v>
      </c>
      <c r="C6" s="19">
        <v>15</v>
      </c>
      <c r="D6" s="45">
        <v>17</v>
      </c>
      <c r="E6" s="19">
        <f t="shared" ref="E6:E27" si="1">D6-C6</f>
        <v>2</v>
      </c>
      <c r="F6" s="19">
        <v>15</v>
      </c>
      <c r="G6" s="21">
        <v>15</v>
      </c>
      <c r="H6" s="19">
        <f t="shared" ref="H6:H27" si="2">G6-F6</f>
        <v>0</v>
      </c>
      <c r="I6" s="19">
        <v>7</v>
      </c>
      <c r="J6" s="19">
        <v>7</v>
      </c>
      <c r="K6" s="19">
        <f t="shared" ref="K6:K27" si="3">J6-I6</f>
        <v>0</v>
      </c>
      <c r="L6" s="19">
        <f t="shared" ref="L6:L27" si="4">F6-I6</f>
        <v>8</v>
      </c>
      <c r="M6" s="19">
        <f t="shared" ref="M6:M27" si="5">G6-J6</f>
        <v>8</v>
      </c>
      <c r="N6" s="19">
        <f t="shared" ref="N6:N27" si="6">M6-L6</f>
        <v>0</v>
      </c>
      <c r="O6" s="22"/>
      <c r="P6" s="22"/>
      <c r="Q6" s="25">
        <v>9</v>
      </c>
      <c r="R6" s="19">
        <v>2</v>
      </c>
      <c r="S6" s="19">
        <v>2</v>
      </c>
      <c r="T6" s="19">
        <v>2</v>
      </c>
      <c r="U6" s="19">
        <v>3</v>
      </c>
      <c r="V6" s="19">
        <v>5</v>
      </c>
      <c r="W6" s="19">
        <f t="shared" ref="W6:W27" si="7">Q6-U6-V6</f>
        <v>1</v>
      </c>
      <c r="X6" s="19">
        <v>0</v>
      </c>
      <c r="Y6" s="19">
        <v>9</v>
      </c>
      <c r="Z6" s="19">
        <v>0</v>
      </c>
      <c r="AA6" s="26"/>
    </row>
    <row r="7" spans="1:27" s="8" customFormat="1" ht="17" customHeight="1">
      <c r="A7" s="23" t="s">
        <v>30</v>
      </c>
      <c r="B7" s="19">
        <v>3</v>
      </c>
      <c r="C7" s="19">
        <v>5</v>
      </c>
      <c r="D7" s="46">
        <v>5</v>
      </c>
      <c r="E7" s="19">
        <f t="shared" si="1"/>
        <v>0</v>
      </c>
      <c r="F7" s="19">
        <v>5</v>
      </c>
      <c r="G7" s="21">
        <v>6</v>
      </c>
      <c r="H7" s="19">
        <f t="shared" si="2"/>
        <v>1</v>
      </c>
      <c r="I7" s="19">
        <v>2</v>
      </c>
      <c r="J7" s="19">
        <v>2</v>
      </c>
      <c r="K7" s="19">
        <f t="shared" si="3"/>
        <v>0</v>
      </c>
      <c r="L7" s="19">
        <f t="shared" si="4"/>
        <v>3</v>
      </c>
      <c r="M7" s="19">
        <f t="shared" si="5"/>
        <v>4</v>
      </c>
      <c r="N7" s="19">
        <f t="shared" si="6"/>
        <v>1</v>
      </c>
      <c r="O7" s="22"/>
      <c r="P7" s="22"/>
      <c r="Q7" s="25">
        <v>2</v>
      </c>
      <c r="R7" s="19">
        <v>0</v>
      </c>
      <c r="S7" s="19">
        <v>1</v>
      </c>
      <c r="T7" s="19">
        <v>0</v>
      </c>
      <c r="U7" s="19">
        <v>0</v>
      </c>
      <c r="V7" s="19">
        <v>0</v>
      </c>
      <c r="W7" s="19">
        <f t="shared" si="7"/>
        <v>2</v>
      </c>
      <c r="X7" s="19">
        <v>0</v>
      </c>
      <c r="Y7" s="19">
        <v>2</v>
      </c>
      <c r="Z7" s="19">
        <v>0</v>
      </c>
      <c r="AA7" s="26"/>
    </row>
    <row r="8" spans="1:27" s="8" customFormat="1" ht="17" customHeight="1">
      <c r="A8" s="23" t="s">
        <v>31</v>
      </c>
      <c r="B8" s="19">
        <v>4</v>
      </c>
      <c r="C8" s="19">
        <v>8</v>
      </c>
      <c r="D8" s="46">
        <v>8</v>
      </c>
      <c r="E8" s="19">
        <f t="shared" si="1"/>
        <v>0</v>
      </c>
      <c r="F8" s="19">
        <v>4</v>
      </c>
      <c r="G8" s="21">
        <v>4</v>
      </c>
      <c r="H8" s="19">
        <f t="shared" si="2"/>
        <v>0</v>
      </c>
      <c r="I8" s="19">
        <v>0</v>
      </c>
      <c r="J8" s="19">
        <v>0</v>
      </c>
      <c r="K8" s="19">
        <f t="shared" si="3"/>
        <v>0</v>
      </c>
      <c r="L8" s="19">
        <f t="shared" si="4"/>
        <v>4</v>
      </c>
      <c r="M8" s="19">
        <f t="shared" si="5"/>
        <v>4</v>
      </c>
      <c r="N8" s="19">
        <f t="shared" si="6"/>
        <v>0</v>
      </c>
      <c r="O8" s="22"/>
      <c r="P8" s="22"/>
      <c r="Q8" s="25">
        <v>8</v>
      </c>
      <c r="R8" s="19">
        <v>3</v>
      </c>
      <c r="S8" s="19">
        <v>0</v>
      </c>
      <c r="T8" s="19">
        <v>1</v>
      </c>
      <c r="U8" s="19">
        <v>1</v>
      </c>
      <c r="V8" s="19">
        <v>3</v>
      </c>
      <c r="W8" s="19">
        <f t="shared" si="7"/>
        <v>4</v>
      </c>
      <c r="X8" s="19">
        <v>1</v>
      </c>
      <c r="Y8" s="19">
        <v>5</v>
      </c>
      <c r="Z8" s="4">
        <v>2</v>
      </c>
      <c r="AA8" s="5"/>
    </row>
    <row r="9" spans="1:27" s="8" customFormat="1" ht="17" customHeight="1">
      <c r="A9" s="23" t="s">
        <v>32</v>
      </c>
      <c r="B9" s="19">
        <v>2</v>
      </c>
      <c r="C9" s="19">
        <v>5</v>
      </c>
      <c r="D9" s="46">
        <v>5</v>
      </c>
      <c r="E9" s="19">
        <f t="shared" si="1"/>
        <v>0</v>
      </c>
      <c r="F9" s="19">
        <v>3</v>
      </c>
      <c r="G9" s="21">
        <v>3</v>
      </c>
      <c r="H9" s="19">
        <f t="shared" si="2"/>
        <v>0</v>
      </c>
      <c r="I9" s="19">
        <v>0</v>
      </c>
      <c r="J9" s="19">
        <v>0</v>
      </c>
      <c r="K9" s="19">
        <f t="shared" si="3"/>
        <v>0</v>
      </c>
      <c r="L9" s="19">
        <f t="shared" si="4"/>
        <v>3</v>
      </c>
      <c r="M9" s="19">
        <f t="shared" si="5"/>
        <v>3</v>
      </c>
      <c r="N9" s="19">
        <f t="shared" si="6"/>
        <v>0</v>
      </c>
      <c r="O9" s="22"/>
      <c r="P9" s="22"/>
      <c r="Q9" s="25">
        <v>4</v>
      </c>
      <c r="R9" s="19">
        <v>0</v>
      </c>
      <c r="S9" s="19">
        <v>2</v>
      </c>
      <c r="T9" s="19">
        <v>0</v>
      </c>
      <c r="U9" s="19">
        <v>0</v>
      </c>
      <c r="V9" s="19">
        <v>2</v>
      </c>
      <c r="W9" s="19">
        <f t="shared" si="7"/>
        <v>2</v>
      </c>
      <c r="X9" s="19">
        <v>0</v>
      </c>
      <c r="Y9" s="19">
        <v>4</v>
      </c>
      <c r="Z9" s="19">
        <v>0</v>
      </c>
      <c r="AA9" s="5"/>
    </row>
    <row r="10" spans="1:27" s="8" customFormat="1" ht="17" customHeight="1">
      <c r="A10" s="23" t="s">
        <v>33</v>
      </c>
      <c r="B10" s="19">
        <v>5</v>
      </c>
      <c r="C10" s="19">
        <v>1</v>
      </c>
      <c r="D10" s="45">
        <v>2</v>
      </c>
      <c r="E10" s="19">
        <f t="shared" si="1"/>
        <v>1</v>
      </c>
      <c r="F10" s="19">
        <v>5</v>
      </c>
      <c r="G10" s="21">
        <v>7</v>
      </c>
      <c r="H10" s="19">
        <f t="shared" si="2"/>
        <v>2</v>
      </c>
      <c r="I10" s="19">
        <v>1</v>
      </c>
      <c r="J10" s="19">
        <v>2</v>
      </c>
      <c r="K10" s="19">
        <f t="shared" si="3"/>
        <v>1</v>
      </c>
      <c r="L10" s="19">
        <f t="shared" si="4"/>
        <v>4</v>
      </c>
      <c r="M10" s="19">
        <f t="shared" si="5"/>
        <v>5</v>
      </c>
      <c r="N10" s="19">
        <f t="shared" si="6"/>
        <v>1</v>
      </c>
      <c r="O10" s="22"/>
      <c r="P10" s="22"/>
      <c r="Q10" s="25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f t="shared" si="7"/>
        <v>0</v>
      </c>
      <c r="X10" s="19">
        <v>0</v>
      </c>
      <c r="Y10" s="19">
        <v>0</v>
      </c>
      <c r="Z10" s="19">
        <v>0</v>
      </c>
      <c r="AA10" s="26"/>
    </row>
    <row r="11" spans="1:27" s="8" customFormat="1" ht="17" customHeight="1">
      <c r="A11" s="23" t="s">
        <v>34</v>
      </c>
      <c r="B11" s="19">
        <v>0</v>
      </c>
      <c r="C11" s="19">
        <v>0</v>
      </c>
      <c r="D11" s="46">
        <v>0</v>
      </c>
      <c r="E11" s="19">
        <f t="shared" si="1"/>
        <v>0</v>
      </c>
      <c r="F11" s="19">
        <v>0</v>
      </c>
      <c r="G11" s="21">
        <v>0</v>
      </c>
      <c r="H11" s="19">
        <f t="shared" si="2"/>
        <v>0</v>
      </c>
      <c r="I11" s="19">
        <v>0</v>
      </c>
      <c r="J11" s="19">
        <v>0</v>
      </c>
      <c r="K11" s="19">
        <f t="shared" si="3"/>
        <v>0</v>
      </c>
      <c r="L11" s="19">
        <f t="shared" si="4"/>
        <v>0</v>
      </c>
      <c r="M11" s="19">
        <f t="shared" si="5"/>
        <v>0</v>
      </c>
      <c r="N11" s="19">
        <f t="shared" si="6"/>
        <v>0</v>
      </c>
      <c r="O11" s="22"/>
      <c r="P11" s="22"/>
      <c r="Q11" s="25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f t="shared" si="7"/>
        <v>0</v>
      </c>
      <c r="X11" s="19">
        <v>0</v>
      </c>
      <c r="Y11" s="19">
        <v>0</v>
      </c>
      <c r="Z11" s="19">
        <v>0</v>
      </c>
      <c r="AA11" s="26"/>
    </row>
    <row r="12" spans="1:27" s="8" customFormat="1" ht="17" customHeight="1">
      <c r="A12" s="23" t="s">
        <v>35</v>
      </c>
      <c r="B12" s="19">
        <v>0</v>
      </c>
      <c r="C12" s="19">
        <v>1</v>
      </c>
      <c r="D12" s="46">
        <v>1</v>
      </c>
      <c r="E12" s="19">
        <f t="shared" si="1"/>
        <v>0</v>
      </c>
      <c r="F12" s="19">
        <v>1</v>
      </c>
      <c r="G12" s="21">
        <v>1</v>
      </c>
      <c r="H12" s="19">
        <f t="shared" si="2"/>
        <v>0</v>
      </c>
      <c r="I12" s="19">
        <v>1</v>
      </c>
      <c r="J12" s="19">
        <v>1</v>
      </c>
      <c r="K12" s="19">
        <f t="shared" si="3"/>
        <v>0</v>
      </c>
      <c r="L12" s="19">
        <f t="shared" si="4"/>
        <v>0</v>
      </c>
      <c r="M12" s="19">
        <f t="shared" si="5"/>
        <v>0</v>
      </c>
      <c r="N12" s="19">
        <f t="shared" si="6"/>
        <v>0</v>
      </c>
      <c r="O12" s="22"/>
      <c r="P12" s="22"/>
      <c r="Q12" s="25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f t="shared" si="7"/>
        <v>0</v>
      </c>
      <c r="X12" s="19">
        <v>0</v>
      </c>
      <c r="Y12" s="19">
        <v>0</v>
      </c>
      <c r="Z12" s="19">
        <v>0</v>
      </c>
      <c r="AA12" s="26"/>
    </row>
    <row r="13" spans="1:27" s="8" customFormat="1" ht="17" customHeight="1">
      <c r="A13" s="23" t="s">
        <v>36</v>
      </c>
      <c r="B13" s="19">
        <v>0</v>
      </c>
      <c r="C13" s="19">
        <v>3</v>
      </c>
      <c r="D13" s="46">
        <v>4</v>
      </c>
      <c r="E13" s="19">
        <f t="shared" si="1"/>
        <v>1</v>
      </c>
      <c r="F13" s="19">
        <v>2</v>
      </c>
      <c r="G13" s="21">
        <v>2</v>
      </c>
      <c r="H13" s="19">
        <f t="shared" si="2"/>
        <v>0</v>
      </c>
      <c r="I13" s="19">
        <v>1</v>
      </c>
      <c r="J13" s="19">
        <v>1</v>
      </c>
      <c r="K13" s="19">
        <f t="shared" si="3"/>
        <v>0</v>
      </c>
      <c r="L13" s="19">
        <f t="shared" si="4"/>
        <v>1</v>
      </c>
      <c r="M13" s="19">
        <f t="shared" si="5"/>
        <v>1</v>
      </c>
      <c r="N13" s="19">
        <f t="shared" si="6"/>
        <v>0</v>
      </c>
      <c r="O13" s="22"/>
      <c r="P13" s="22"/>
      <c r="Q13" s="25">
        <v>2</v>
      </c>
      <c r="R13" s="19">
        <v>1</v>
      </c>
      <c r="S13" s="19">
        <v>0</v>
      </c>
      <c r="T13" s="19">
        <v>0</v>
      </c>
      <c r="U13" s="19">
        <v>0</v>
      </c>
      <c r="V13" s="19">
        <v>2</v>
      </c>
      <c r="W13" s="19">
        <f t="shared" si="7"/>
        <v>0</v>
      </c>
      <c r="X13" s="19">
        <v>0</v>
      </c>
      <c r="Y13" s="19">
        <v>1</v>
      </c>
      <c r="Z13" s="19">
        <v>1</v>
      </c>
      <c r="AA13" s="26"/>
    </row>
    <row r="14" spans="1:27" s="8" customFormat="1" ht="17" customHeight="1">
      <c r="A14" s="23" t="s">
        <v>37</v>
      </c>
      <c r="B14" s="19">
        <v>1</v>
      </c>
      <c r="C14" s="19">
        <v>2</v>
      </c>
      <c r="D14" s="46">
        <v>2</v>
      </c>
      <c r="E14" s="19">
        <f t="shared" si="1"/>
        <v>0</v>
      </c>
      <c r="F14" s="19">
        <v>1</v>
      </c>
      <c r="G14" s="45">
        <v>2</v>
      </c>
      <c r="H14" s="19">
        <f t="shared" si="2"/>
        <v>1</v>
      </c>
      <c r="I14" s="19">
        <v>0</v>
      </c>
      <c r="J14" s="19">
        <v>0</v>
      </c>
      <c r="K14" s="19">
        <f t="shared" si="3"/>
        <v>0</v>
      </c>
      <c r="L14" s="19">
        <f t="shared" si="4"/>
        <v>1</v>
      </c>
      <c r="M14" s="19">
        <f t="shared" si="5"/>
        <v>2</v>
      </c>
      <c r="N14" s="19">
        <f t="shared" si="6"/>
        <v>1</v>
      </c>
      <c r="O14" s="22"/>
      <c r="P14" s="22"/>
      <c r="Q14" s="25">
        <v>1</v>
      </c>
      <c r="R14" s="19">
        <v>1</v>
      </c>
      <c r="S14" s="19">
        <v>0</v>
      </c>
      <c r="T14" s="19">
        <v>0</v>
      </c>
      <c r="U14" s="19">
        <v>0</v>
      </c>
      <c r="V14" s="19">
        <v>1</v>
      </c>
      <c r="W14" s="19">
        <f t="shared" si="7"/>
        <v>0</v>
      </c>
      <c r="X14" s="19">
        <v>0</v>
      </c>
      <c r="Y14" s="19">
        <v>1</v>
      </c>
      <c r="Z14" s="19">
        <v>0</v>
      </c>
      <c r="AA14" s="5"/>
    </row>
    <row r="15" spans="1:27" s="8" customFormat="1" ht="17" customHeight="1">
      <c r="A15" s="23" t="s">
        <v>38</v>
      </c>
      <c r="B15" s="19">
        <v>0</v>
      </c>
      <c r="C15" s="19">
        <v>2</v>
      </c>
      <c r="D15" s="46">
        <v>2</v>
      </c>
      <c r="E15" s="19">
        <f t="shared" si="1"/>
        <v>0</v>
      </c>
      <c r="F15" s="19">
        <v>0</v>
      </c>
      <c r="G15" s="21">
        <v>0</v>
      </c>
      <c r="H15" s="19">
        <f t="shared" si="2"/>
        <v>0</v>
      </c>
      <c r="I15" s="19">
        <v>0</v>
      </c>
      <c r="J15" s="19">
        <v>0</v>
      </c>
      <c r="K15" s="19">
        <f t="shared" si="3"/>
        <v>0</v>
      </c>
      <c r="L15" s="19">
        <f t="shared" si="4"/>
        <v>0</v>
      </c>
      <c r="M15" s="19">
        <f t="shared" si="5"/>
        <v>0</v>
      </c>
      <c r="N15" s="19">
        <f t="shared" si="6"/>
        <v>0</v>
      </c>
      <c r="O15" s="22"/>
      <c r="P15" s="22"/>
      <c r="Q15" s="25">
        <v>2</v>
      </c>
      <c r="R15" s="19">
        <v>0</v>
      </c>
      <c r="S15" s="19">
        <v>1</v>
      </c>
      <c r="T15" s="19">
        <v>0</v>
      </c>
      <c r="U15" s="19">
        <v>0</v>
      </c>
      <c r="V15" s="19">
        <v>1</v>
      </c>
      <c r="W15" s="19">
        <f t="shared" si="7"/>
        <v>1</v>
      </c>
      <c r="X15" s="19">
        <v>0</v>
      </c>
      <c r="Y15" s="19">
        <v>1</v>
      </c>
      <c r="Z15" s="4">
        <v>1</v>
      </c>
      <c r="AA15" s="5"/>
    </row>
    <row r="16" spans="1:27" s="8" customFormat="1" ht="17" customHeight="1">
      <c r="A16" s="23" t="s">
        <v>39</v>
      </c>
      <c r="B16" s="19">
        <v>2</v>
      </c>
      <c r="C16" s="19">
        <v>3</v>
      </c>
      <c r="D16" s="46">
        <v>3</v>
      </c>
      <c r="E16" s="19">
        <f t="shared" si="1"/>
        <v>0</v>
      </c>
      <c r="F16" s="19">
        <v>2</v>
      </c>
      <c r="G16" s="21">
        <v>2</v>
      </c>
      <c r="H16" s="19">
        <f t="shared" si="2"/>
        <v>0</v>
      </c>
      <c r="I16" s="19">
        <v>0</v>
      </c>
      <c r="J16" s="19">
        <v>0</v>
      </c>
      <c r="K16" s="19">
        <f t="shared" si="3"/>
        <v>0</v>
      </c>
      <c r="L16" s="19">
        <f t="shared" si="4"/>
        <v>2</v>
      </c>
      <c r="M16" s="19">
        <f t="shared" si="5"/>
        <v>2</v>
      </c>
      <c r="N16" s="19">
        <f t="shared" si="6"/>
        <v>0</v>
      </c>
      <c r="O16" s="22"/>
      <c r="P16" s="22"/>
      <c r="Q16" s="25">
        <v>3</v>
      </c>
      <c r="R16" s="19">
        <v>1</v>
      </c>
      <c r="S16" s="19">
        <v>0</v>
      </c>
      <c r="T16" s="19">
        <v>2</v>
      </c>
      <c r="U16" s="19">
        <v>0</v>
      </c>
      <c r="V16" s="19">
        <v>0</v>
      </c>
      <c r="W16" s="19">
        <f t="shared" si="7"/>
        <v>3</v>
      </c>
      <c r="X16" s="19">
        <v>0</v>
      </c>
      <c r="Y16" s="19">
        <v>2</v>
      </c>
      <c r="Z16" s="19">
        <v>1</v>
      </c>
      <c r="AA16" s="26"/>
    </row>
    <row r="17" spans="1:45" s="8" customFormat="1" ht="17" customHeight="1">
      <c r="A17" s="23" t="s">
        <v>40</v>
      </c>
      <c r="B17" s="19">
        <v>1</v>
      </c>
      <c r="C17" s="19">
        <v>2</v>
      </c>
      <c r="D17" s="46">
        <v>2</v>
      </c>
      <c r="E17" s="19">
        <f t="shared" si="1"/>
        <v>0</v>
      </c>
      <c r="F17" s="19">
        <v>0</v>
      </c>
      <c r="G17" s="21">
        <v>0</v>
      </c>
      <c r="H17" s="19">
        <f t="shared" si="2"/>
        <v>0</v>
      </c>
      <c r="I17" s="19">
        <v>0</v>
      </c>
      <c r="J17" s="19">
        <v>0</v>
      </c>
      <c r="K17" s="19">
        <f t="shared" si="3"/>
        <v>0</v>
      </c>
      <c r="L17" s="19">
        <f t="shared" si="4"/>
        <v>0</v>
      </c>
      <c r="M17" s="19">
        <f t="shared" si="5"/>
        <v>0</v>
      </c>
      <c r="N17" s="19">
        <f t="shared" si="6"/>
        <v>0</v>
      </c>
      <c r="O17" s="22"/>
      <c r="P17" s="22"/>
      <c r="Q17" s="25">
        <v>3</v>
      </c>
      <c r="R17" s="19">
        <v>2</v>
      </c>
      <c r="S17" s="19">
        <v>0</v>
      </c>
      <c r="T17" s="19">
        <v>0</v>
      </c>
      <c r="U17" s="19">
        <v>1</v>
      </c>
      <c r="V17" s="19">
        <v>2</v>
      </c>
      <c r="W17" s="19">
        <f t="shared" si="7"/>
        <v>0</v>
      </c>
      <c r="X17" s="19">
        <v>0</v>
      </c>
      <c r="Y17" s="19">
        <v>3</v>
      </c>
      <c r="Z17" s="19">
        <v>0</v>
      </c>
      <c r="AA17" s="26"/>
    </row>
    <row r="18" spans="1:45" s="8" customFormat="1" ht="17" customHeight="1">
      <c r="A18" s="23" t="s">
        <v>41</v>
      </c>
      <c r="B18" s="19">
        <v>1</v>
      </c>
      <c r="C18" s="19">
        <v>2</v>
      </c>
      <c r="D18" s="46">
        <v>2</v>
      </c>
      <c r="E18" s="19">
        <f t="shared" si="1"/>
        <v>0</v>
      </c>
      <c r="F18" s="19">
        <v>1</v>
      </c>
      <c r="G18" s="21">
        <v>1</v>
      </c>
      <c r="H18" s="19">
        <f t="shared" si="2"/>
        <v>0</v>
      </c>
      <c r="I18" s="19">
        <v>0</v>
      </c>
      <c r="J18" s="19">
        <v>0</v>
      </c>
      <c r="K18" s="19">
        <f t="shared" si="3"/>
        <v>0</v>
      </c>
      <c r="L18" s="19">
        <f t="shared" si="4"/>
        <v>1</v>
      </c>
      <c r="M18" s="19">
        <f t="shared" si="5"/>
        <v>1</v>
      </c>
      <c r="N18" s="19">
        <f t="shared" si="6"/>
        <v>0</v>
      </c>
      <c r="O18" s="22"/>
      <c r="P18" s="22"/>
      <c r="Q18" s="25">
        <v>2</v>
      </c>
      <c r="R18" s="19">
        <v>2</v>
      </c>
      <c r="S18" s="19">
        <v>0</v>
      </c>
      <c r="T18" s="19">
        <v>0</v>
      </c>
      <c r="U18" s="19">
        <v>0</v>
      </c>
      <c r="V18" s="19">
        <v>1</v>
      </c>
      <c r="W18" s="19">
        <f t="shared" si="7"/>
        <v>1</v>
      </c>
      <c r="X18" s="19">
        <v>0</v>
      </c>
      <c r="Y18" s="19">
        <v>2</v>
      </c>
      <c r="Z18" s="19">
        <v>0</v>
      </c>
      <c r="AA18" s="26"/>
    </row>
    <row r="19" spans="1:45" s="8" customFormat="1" ht="17" customHeight="1">
      <c r="A19" s="23" t="s">
        <v>42</v>
      </c>
      <c r="B19" s="19">
        <v>1</v>
      </c>
      <c r="C19" s="19">
        <v>3</v>
      </c>
      <c r="D19" s="46">
        <v>3</v>
      </c>
      <c r="E19" s="19">
        <f t="shared" si="1"/>
        <v>0</v>
      </c>
      <c r="F19" s="19">
        <v>2</v>
      </c>
      <c r="G19" s="21">
        <v>2</v>
      </c>
      <c r="H19" s="19">
        <f t="shared" si="2"/>
        <v>0</v>
      </c>
      <c r="I19" s="19">
        <v>1</v>
      </c>
      <c r="J19" s="19">
        <v>1</v>
      </c>
      <c r="K19" s="19">
        <f t="shared" si="3"/>
        <v>0</v>
      </c>
      <c r="L19" s="19">
        <f t="shared" si="4"/>
        <v>1</v>
      </c>
      <c r="M19" s="19">
        <f t="shared" si="5"/>
        <v>1</v>
      </c>
      <c r="N19" s="19">
        <f t="shared" si="6"/>
        <v>0</v>
      </c>
      <c r="O19" s="22"/>
      <c r="P19" s="22"/>
      <c r="Q19" s="25">
        <v>2</v>
      </c>
      <c r="R19" s="19">
        <v>1</v>
      </c>
      <c r="S19" s="19">
        <v>0</v>
      </c>
      <c r="T19" s="19">
        <v>0</v>
      </c>
      <c r="U19" s="19">
        <v>1</v>
      </c>
      <c r="V19" s="19">
        <v>1</v>
      </c>
      <c r="W19" s="19">
        <f t="shared" si="7"/>
        <v>0</v>
      </c>
      <c r="X19" s="19">
        <v>0</v>
      </c>
      <c r="Y19" s="19">
        <v>1</v>
      </c>
      <c r="Z19" s="4">
        <v>1</v>
      </c>
      <c r="AA19" s="5"/>
    </row>
    <row r="20" spans="1:45" s="8" customFormat="1" ht="17" customHeight="1">
      <c r="A20" s="23" t="s">
        <v>43</v>
      </c>
      <c r="B20" s="19">
        <v>1</v>
      </c>
      <c r="C20" s="19">
        <v>5</v>
      </c>
      <c r="D20" s="46">
        <v>6</v>
      </c>
      <c r="E20" s="19">
        <f t="shared" si="1"/>
        <v>1</v>
      </c>
      <c r="F20" s="19">
        <v>4</v>
      </c>
      <c r="G20" s="21">
        <v>4</v>
      </c>
      <c r="H20" s="19">
        <f t="shared" si="2"/>
        <v>0</v>
      </c>
      <c r="I20" s="19">
        <v>3</v>
      </c>
      <c r="J20" s="19">
        <v>3</v>
      </c>
      <c r="K20" s="19">
        <f t="shared" si="3"/>
        <v>0</v>
      </c>
      <c r="L20" s="19">
        <f t="shared" si="4"/>
        <v>1</v>
      </c>
      <c r="M20" s="19">
        <f t="shared" si="5"/>
        <v>1</v>
      </c>
      <c r="N20" s="19">
        <f t="shared" si="6"/>
        <v>0</v>
      </c>
      <c r="O20" s="22"/>
      <c r="P20" s="22"/>
      <c r="Q20" s="25">
        <v>3</v>
      </c>
      <c r="R20" s="19">
        <v>1</v>
      </c>
      <c r="S20" s="19">
        <v>0</v>
      </c>
      <c r="T20" s="19">
        <v>0</v>
      </c>
      <c r="U20" s="19">
        <v>0</v>
      </c>
      <c r="V20" s="19">
        <v>1</v>
      </c>
      <c r="W20" s="19">
        <f t="shared" si="7"/>
        <v>2</v>
      </c>
      <c r="X20" s="19">
        <v>0</v>
      </c>
      <c r="Y20" s="19">
        <v>2</v>
      </c>
      <c r="Z20" s="19">
        <v>1</v>
      </c>
      <c r="AA20" s="26"/>
    </row>
    <row r="21" spans="1:45" s="8" customFormat="1" ht="17" customHeight="1">
      <c r="A21" s="23" t="s">
        <v>44</v>
      </c>
      <c r="B21" s="19">
        <v>2</v>
      </c>
      <c r="C21" s="19">
        <v>1</v>
      </c>
      <c r="D21" s="46">
        <v>1</v>
      </c>
      <c r="E21" s="19">
        <f t="shared" si="1"/>
        <v>0</v>
      </c>
      <c r="F21" s="19">
        <v>2</v>
      </c>
      <c r="G21" s="21">
        <v>2</v>
      </c>
      <c r="H21" s="19">
        <f t="shared" si="2"/>
        <v>0</v>
      </c>
      <c r="I21" s="19">
        <v>1</v>
      </c>
      <c r="J21" s="19">
        <v>1</v>
      </c>
      <c r="K21" s="19">
        <f t="shared" si="3"/>
        <v>0</v>
      </c>
      <c r="L21" s="19">
        <f t="shared" si="4"/>
        <v>1</v>
      </c>
      <c r="M21" s="19">
        <f t="shared" si="5"/>
        <v>1</v>
      </c>
      <c r="N21" s="19">
        <f t="shared" si="6"/>
        <v>0</v>
      </c>
      <c r="O21" s="22"/>
      <c r="P21" s="22"/>
      <c r="Q21" s="25">
        <v>1</v>
      </c>
      <c r="R21" s="19">
        <v>0</v>
      </c>
      <c r="S21" s="19">
        <v>0</v>
      </c>
      <c r="T21" s="19">
        <v>0</v>
      </c>
      <c r="U21" s="19">
        <v>0</v>
      </c>
      <c r="V21" s="19">
        <v>1</v>
      </c>
      <c r="W21" s="19">
        <f t="shared" si="7"/>
        <v>0</v>
      </c>
      <c r="X21" s="19">
        <v>0</v>
      </c>
      <c r="Y21" s="19">
        <v>1</v>
      </c>
      <c r="Z21" s="19">
        <v>0</v>
      </c>
      <c r="AA21" s="26"/>
    </row>
    <row r="22" spans="1:45" s="8" customFormat="1" ht="17" customHeight="1">
      <c r="A22" s="18" t="s">
        <v>45</v>
      </c>
      <c r="B22" s="19">
        <v>3</v>
      </c>
      <c r="C22" s="19">
        <v>4</v>
      </c>
      <c r="D22" s="46">
        <v>6</v>
      </c>
      <c r="E22" s="19">
        <f t="shared" si="1"/>
        <v>2</v>
      </c>
      <c r="F22" s="19">
        <v>2</v>
      </c>
      <c r="G22" s="21">
        <v>3</v>
      </c>
      <c r="H22" s="19">
        <f t="shared" si="2"/>
        <v>1</v>
      </c>
      <c r="I22" s="4">
        <v>0</v>
      </c>
      <c r="J22" s="4">
        <v>1</v>
      </c>
      <c r="K22" s="19">
        <f t="shared" si="3"/>
        <v>1</v>
      </c>
      <c r="L22" s="19">
        <f t="shared" si="4"/>
        <v>2</v>
      </c>
      <c r="M22" s="19">
        <f t="shared" si="5"/>
        <v>2</v>
      </c>
      <c r="N22" s="19">
        <f t="shared" si="6"/>
        <v>0</v>
      </c>
      <c r="O22" s="22"/>
      <c r="P22" s="22"/>
      <c r="Q22" s="25">
        <v>6</v>
      </c>
      <c r="R22" s="19">
        <v>4</v>
      </c>
      <c r="S22" s="19">
        <v>0</v>
      </c>
      <c r="T22" s="19">
        <v>0</v>
      </c>
      <c r="U22" s="19">
        <v>2</v>
      </c>
      <c r="V22" s="4">
        <v>1</v>
      </c>
      <c r="W22" s="19">
        <f t="shared" si="7"/>
        <v>3</v>
      </c>
      <c r="X22" s="19">
        <v>1</v>
      </c>
      <c r="Y22" s="19">
        <v>4</v>
      </c>
      <c r="Z22" s="4">
        <v>1</v>
      </c>
      <c r="AA22" s="5"/>
    </row>
    <row r="23" spans="1:45" s="8" customFormat="1" ht="17" customHeight="1">
      <c r="A23" s="23" t="s">
        <v>46</v>
      </c>
      <c r="B23" s="19">
        <v>3</v>
      </c>
      <c r="C23" s="19">
        <v>6</v>
      </c>
      <c r="D23" s="46">
        <v>6</v>
      </c>
      <c r="E23" s="19">
        <f t="shared" si="1"/>
        <v>0</v>
      </c>
      <c r="F23" s="19">
        <v>6</v>
      </c>
      <c r="G23" s="21">
        <v>6</v>
      </c>
      <c r="H23" s="19">
        <f t="shared" si="2"/>
        <v>0</v>
      </c>
      <c r="I23" s="19">
        <v>1</v>
      </c>
      <c r="J23" s="19">
        <v>1</v>
      </c>
      <c r="K23" s="19">
        <f t="shared" si="3"/>
        <v>0</v>
      </c>
      <c r="L23" s="19">
        <f t="shared" si="4"/>
        <v>5</v>
      </c>
      <c r="M23" s="19">
        <f t="shared" si="5"/>
        <v>5</v>
      </c>
      <c r="N23" s="19">
        <f t="shared" si="6"/>
        <v>0</v>
      </c>
      <c r="O23" s="22">
        <v>1</v>
      </c>
      <c r="P23" s="22"/>
      <c r="Q23" s="25">
        <v>3</v>
      </c>
      <c r="R23" s="19">
        <v>0</v>
      </c>
      <c r="S23" s="19">
        <v>0</v>
      </c>
      <c r="T23" s="19">
        <v>0</v>
      </c>
      <c r="U23" s="19">
        <v>0</v>
      </c>
      <c r="V23" s="19">
        <v>3</v>
      </c>
      <c r="W23" s="19">
        <f t="shared" si="7"/>
        <v>0</v>
      </c>
      <c r="X23" s="19">
        <v>0</v>
      </c>
      <c r="Y23" s="19">
        <v>1</v>
      </c>
      <c r="Z23" s="4">
        <v>2</v>
      </c>
      <c r="AA23" s="5"/>
    </row>
    <row r="24" spans="1:45" s="8" customFormat="1" ht="17" customHeight="1">
      <c r="A24" s="23" t="s">
        <v>47</v>
      </c>
      <c r="B24" s="19">
        <v>2</v>
      </c>
      <c r="C24" s="19">
        <v>1</v>
      </c>
      <c r="D24" s="46">
        <v>1</v>
      </c>
      <c r="E24" s="19">
        <f t="shared" si="1"/>
        <v>0</v>
      </c>
      <c r="F24" s="19">
        <v>3</v>
      </c>
      <c r="G24" s="21">
        <v>3</v>
      </c>
      <c r="H24" s="19">
        <f t="shared" si="2"/>
        <v>0</v>
      </c>
      <c r="I24" s="19">
        <v>1</v>
      </c>
      <c r="J24" s="19">
        <v>1</v>
      </c>
      <c r="K24" s="19">
        <f t="shared" si="3"/>
        <v>0</v>
      </c>
      <c r="L24" s="19">
        <f t="shared" si="4"/>
        <v>2</v>
      </c>
      <c r="M24" s="19">
        <f t="shared" si="5"/>
        <v>2</v>
      </c>
      <c r="N24" s="19">
        <f t="shared" si="6"/>
        <v>0</v>
      </c>
      <c r="O24" s="22"/>
      <c r="P24" s="22"/>
      <c r="Q24" s="25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f t="shared" si="7"/>
        <v>0</v>
      </c>
      <c r="X24" s="19">
        <v>0</v>
      </c>
      <c r="Y24" s="19">
        <v>0</v>
      </c>
      <c r="Z24" s="19">
        <v>0</v>
      </c>
      <c r="AA24" s="5"/>
    </row>
    <row r="25" spans="1:45" s="8" customFormat="1" ht="14">
      <c r="A25" s="23" t="s">
        <v>48</v>
      </c>
      <c r="B25" s="19">
        <v>9</v>
      </c>
      <c r="C25" s="19">
        <v>22</v>
      </c>
      <c r="D25" s="46">
        <v>23</v>
      </c>
      <c r="E25" s="19">
        <f t="shared" si="1"/>
        <v>1</v>
      </c>
      <c r="F25" s="19">
        <v>19</v>
      </c>
      <c r="G25" s="21">
        <v>23</v>
      </c>
      <c r="H25" s="19">
        <f t="shared" si="2"/>
        <v>4</v>
      </c>
      <c r="I25" s="19">
        <v>7</v>
      </c>
      <c r="J25" s="19">
        <v>8</v>
      </c>
      <c r="K25" s="19">
        <f t="shared" si="3"/>
        <v>1</v>
      </c>
      <c r="L25" s="19">
        <f t="shared" si="4"/>
        <v>12</v>
      </c>
      <c r="M25" s="19">
        <f t="shared" si="5"/>
        <v>15</v>
      </c>
      <c r="N25" s="19">
        <f t="shared" si="6"/>
        <v>3</v>
      </c>
      <c r="O25" s="22"/>
      <c r="P25" s="22"/>
      <c r="Q25" s="25">
        <v>9</v>
      </c>
      <c r="R25" s="19">
        <v>4</v>
      </c>
      <c r="S25" s="19">
        <v>0</v>
      </c>
      <c r="T25" s="19">
        <v>0</v>
      </c>
      <c r="U25" s="19">
        <v>2</v>
      </c>
      <c r="V25" s="19">
        <v>3</v>
      </c>
      <c r="W25" s="19">
        <f t="shared" si="7"/>
        <v>4</v>
      </c>
      <c r="X25" s="19">
        <v>1</v>
      </c>
      <c r="Y25" s="19">
        <v>8</v>
      </c>
      <c r="Z25" s="19">
        <v>0</v>
      </c>
      <c r="AA25" s="26"/>
      <c r="AB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</row>
    <row r="26" spans="1:45" s="8" customFormat="1" ht="14">
      <c r="A26" s="23" t="s">
        <v>49</v>
      </c>
      <c r="B26" s="19">
        <v>3</v>
      </c>
      <c r="C26" s="19">
        <v>12</v>
      </c>
      <c r="D26" s="46">
        <v>12</v>
      </c>
      <c r="E26" s="19">
        <f t="shared" si="1"/>
        <v>0</v>
      </c>
      <c r="F26" s="19">
        <v>6</v>
      </c>
      <c r="G26" s="45">
        <v>8</v>
      </c>
      <c r="H26" s="19">
        <f t="shared" si="2"/>
        <v>2</v>
      </c>
      <c r="I26" s="19">
        <v>3</v>
      </c>
      <c r="J26" s="19">
        <v>4</v>
      </c>
      <c r="K26" s="19">
        <f t="shared" si="3"/>
        <v>1</v>
      </c>
      <c r="L26" s="19">
        <f t="shared" si="4"/>
        <v>3</v>
      </c>
      <c r="M26" s="19">
        <f t="shared" si="5"/>
        <v>4</v>
      </c>
      <c r="N26" s="19">
        <f t="shared" si="6"/>
        <v>1</v>
      </c>
      <c r="O26" s="22"/>
      <c r="P26" s="22"/>
      <c r="Q26" s="25">
        <v>7</v>
      </c>
      <c r="R26" s="19">
        <v>1</v>
      </c>
      <c r="S26" s="19">
        <v>3</v>
      </c>
      <c r="T26" s="19">
        <v>1</v>
      </c>
      <c r="U26" s="19">
        <v>1</v>
      </c>
      <c r="V26" s="19">
        <v>2</v>
      </c>
      <c r="W26" s="19">
        <f t="shared" si="7"/>
        <v>4</v>
      </c>
      <c r="X26" s="19">
        <v>2</v>
      </c>
      <c r="Y26" s="19">
        <v>4</v>
      </c>
      <c r="Z26" s="19">
        <v>1</v>
      </c>
      <c r="AA26" s="26"/>
      <c r="AB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</row>
    <row r="27" spans="1:45" s="8" customFormat="1" ht="15">
      <c r="A27" s="29" t="s">
        <v>50</v>
      </c>
      <c r="B27" s="19">
        <v>3</v>
      </c>
      <c r="C27" s="19">
        <v>10</v>
      </c>
      <c r="D27" s="46">
        <v>10</v>
      </c>
      <c r="E27" s="19">
        <f t="shared" si="1"/>
        <v>0</v>
      </c>
      <c r="F27" s="19">
        <v>4</v>
      </c>
      <c r="G27" s="21">
        <v>5</v>
      </c>
      <c r="H27" s="19">
        <f t="shared" si="2"/>
        <v>1</v>
      </c>
      <c r="I27" s="19">
        <v>0</v>
      </c>
      <c r="J27" s="19">
        <v>1</v>
      </c>
      <c r="K27" s="19">
        <f t="shared" si="3"/>
        <v>1</v>
      </c>
      <c r="L27" s="19">
        <f t="shared" si="4"/>
        <v>4</v>
      </c>
      <c r="M27" s="19">
        <f t="shared" si="5"/>
        <v>4</v>
      </c>
      <c r="N27" s="19">
        <f t="shared" si="6"/>
        <v>0</v>
      </c>
      <c r="O27" s="22"/>
      <c r="P27" s="22"/>
      <c r="Q27" s="25">
        <v>8</v>
      </c>
      <c r="R27" s="19">
        <v>4</v>
      </c>
      <c r="S27" s="19">
        <v>1</v>
      </c>
      <c r="T27" s="19">
        <v>1</v>
      </c>
      <c r="U27" s="19">
        <v>1</v>
      </c>
      <c r="V27" s="19">
        <v>1</v>
      </c>
      <c r="W27" s="19">
        <f t="shared" si="7"/>
        <v>6</v>
      </c>
      <c r="X27" s="19">
        <v>2</v>
      </c>
      <c r="Y27" s="19">
        <v>2</v>
      </c>
      <c r="Z27" s="19">
        <v>4</v>
      </c>
      <c r="AA27" s="26"/>
      <c r="AB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</row>
    <row r="28" spans="1:45" ht="20">
      <c r="A28" s="30"/>
      <c r="B28" s="31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45" ht="20">
      <c r="A29" s="30"/>
      <c r="B29" s="31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45" ht="20">
      <c r="A30" s="30"/>
      <c r="B30" s="31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45" ht="20">
      <c r="A31" s="33"/>
      <c r="B31" s="34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45" ht="20">
      <c r="A32" s="30"/>
      <c r="B32" s="31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1:27" ht="20">
      <c r="A33" s="30"/>
      <c r="B33" s="31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1:27" ht="20">
      <c r="A34" s="30"/>
      <c r="B34" s="31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1:27" ht="20">
      <c r="A35" s="30"/>
      <c r="B35" s="31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1:27" ht="20">
      <c r="A36" s="30"/>
      <c r="B36" s="31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1:27" ht="20">
      <c r="A37" s="30"/>
      <c r="B37" s="31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</sheetData>
  <mergeCells count="15">
    <mergeCell ref="S2:S3"/>
    <mergeCell ref="T2:T3"/>
    <mergeCell ref="U2:W2"/>
    <mergeCell ref="X2:Z2"/>
    <mergeCell ref="AA2:AA3"/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</mergeCells>
  <pageMargins left="0.59015748031496063" right="0.19645669291338583" top="0.78740157480314954" bottom="0.59015748031496051" header="0.39370078740157477" footer="0.19645669291338583"/>
  <pageSetup paperSize="0" scale="60" fitToWidth="0" fitToHeight="0" orientation="landscape" horizontalDpi="0" verticalDpi="0" copies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FAB70-BF13-1045-9917-190401957849}">
  <dimension ref="A1:XFD37"/>
  <sheetViews>
    <sheetView workbookViewId="0"/>
  </sheetViews>
  <sheetFormatPr baseColWidth="10" defaultRowHeight="13.75"/>
  <cols>
    <col min="1" max="1" width="21" style="3" customWidth="1"/>
    <col min="2" max="2" width="8.6640625" style="35" customWidth="1"/>
    <col min="3" max="10" width="7" style="3" customWidth="1"/>
    <col min="11" max="11" width="6.33203125" style="3" customWidth="1"/>
    <col min="12" max="12" width="6" style="3" customWidth="1"/>
    <col min="13" max="13" width="6.5546875" style="3" customWidth="1"/>
    <col min="14" max="14" width="7.44140625" style="3" customWidth="1"/>
    <col min="15" max="15" width="7.6640625" style="3" customWidth="1"/>
    <col min="16" max="16" width="7" style="3" customWidth="1"/>
    <col min="17" max="17" width="7" style="35" customWidth="1"/>
    <col min="18" max="18" width="6.33203125" style="35" customWidth="1"/>
    <col min="19" max="19" width="6" style="35" customWidth="1"/>
    <col min="20" max="20" width="5.33203125" style="35" customWidth="1"/>
    <col min="21" max="21" width="6.5546875" style="35" customWidth="1"/>
    <col min="22" max="22" width="7.44140625" style="35" customWidth="1"/>
    <col min="23" max="23" width="6.109375" style="35" customWidth="1"/>
    <col min="24" max="24" width="6.6640625" style="35" customWidth="1"/>
    <col min="25" max="25" width="7.109375" style="35" customWidth="1"/>
    <col min="26" max="26" width="7.44140625" style="35" customWidth="1"/>
    <col min="27" max="27" width="107.6640625" style="35" customWidth="1"/>
    <col min="28" max="29" width="7.5546875" style="3" customWidth="1"/>
    <col min="30" max="30" width="10.109375" style="3" customWidth="1"/>
    <col min="31" max="45" width="7.5546875" style="3" customWidth="1"/>
    <col min="46" max="1022" width="9.44140625" style="3" customWidth="1"/>
  </cols>
  <sheetData>
    <row r="1" spans="1:27" ht="20">
      <c r="A1" s="36" t="s">
        <v>61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1"/>
      <c r="P1" s="1"/>
      <c r="Q1" s="37" t="s">
        <v>1</v>
      </c>
      <c r="R1" s="37"/>
      <c r="S1" s="37"/>
      <c r="T1" s="37"/>
      <c r="U1" s="37"/>
      <c r="V1" s="37"/>
      <c r="W1" s="37"/>
      <c r="X1" s="37"/>
      <c r="Y1" s="37"/>
      <c r="Z1" s="37"/>
      <c r="AA1" s="2"/>
    </row>
    <row r="2" spans="1:27" s="8" customFormat="1" ht="46.5" customHeight="1">
      <c r="A2" s="38"/>
      <c r="B2" s="39" t="s">
        <v>2</v>
      </c>
      <c r="C2" s="40" t="s">
        <v>3</v>
      </c>
      <c r="D2" s="40"/>
      <c r="E2" s="40"/>
      <c r="F2" s="41" t="s">
        <v>4</v>
      </c>
      <c r="G2" s="41"/>
      <c r="H2" s="41"/>
      <c r="I2" s="39" t="s">
        <v>5</v>
      </c>
      <c r="J2" s="39"/>
      <c r="K2" s="39"/>
      <c r="L2" s="39"/>
      <c r="M2" s="39"/>
      <c r="N2" s="39"/>
      <c r="O2" s="42" t="s">
        <v>6</v>
      </c>
      <c r="P2" s="42"/>
      <c r="Q2" s="43" t="s">
        <v>7</v>
      </c>
      <c r="R2" s="39" t="s">
        <v>8</v>
      </c>
      <c r="S2" s="39" t="s">
        <v>9</v>
      </c>
      <c r="T2" s="44" t="s">
        <v>10</v>
      </c>
      <c r="U2" s="39" t="s">
        <v>11</v>
      </c>
      <c r="V2" s="39"/>
      <c r="W2" s="39"/>
      <c r="X2" s="39" t="s">
        <v>12</v>
      </c>
      <c r="Y2" s="39"/>
      <c r="Z2" s="39"/>
      <c r="AA2" s="39" t="s">
        <v>13</v>
      </c>
    </row>
    <row r="3" spans="1:27" s="11" customFormat="1" ht="58.75" customHeight="1">
      <c r="A3" s="38"/>
      <c r="B3" s="39"/>
      <c r="C3" s="5" t="s">
        <v>14</v>
      </c>
      <c r="D3" s="6" t="s">
        <v>7</v>
      </c>
      <c r="E3" s="5" t="s">
        <v>58</v>
      </c>
      <c r="F3" s="5" t="s">
        <v>14</v>
      </c>
      <c r="G3" s="7" t="s">
        <v>7</v>
      </c>
      <c r="H3" s="5" t="s">
        <v>58</v>
      </c>
      <c r="I3" s="5" t="s">
        <v>14</v>
      </c>
      <c r="J3" s="5" t="s">
        <v>16</v>
      </c>
      <c r="K3" s="5" t="s">
        <v>58</v>
      </c>
      <c r="L3" s="5" t="s">
        <v>14</v>
      </c>
      <c r="M3" s="5" t="s">
        <v>17</v>
      </c>
      <c r="N3" s="5" t="s">
        <v>58</v>
      </c>
      <c r="O3" s="9" t="s">
        <v>18</v>
      </c>
      <c r="P3" s="9" t="s">
        <v>19</v>
      </c>
      <c r="Q3" s="43"/>
      <c r="R3" s="39"/>
      <c r="S3" s="39"/>
      <c r="T3" s="44"/>
      <c r="U3" s="10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39"/>
    </row>
    <row r="4" spans="1:27" s="8" customFormat="1" ht="17" customHeight="1">
      <c r="A4" s="12" t="s">
        <v>26</v>
      </c>
      <c r="B4" s="13">
        <f>SUM(B6:B27)</f>
        <v>53</v>
      </c>
      <c r="C4" s="13">
        <v>104</v>
      </c>
      <c r="D4" s="14">
        <f>SUM(D6:D27)</f>
        <v>113</v>
      </c>
      <c r="E4" s="13">
        <f>SUM(E6:E27)</f>
        <v>9</v>
      </c>
      <c r="F4" s="13">
        <v>76</v>
      </c>
      <c r="G4" s="15">
        <f>SUM(G6:G27)</f>
        <v>87</v>
      </c>
      <c r="H4" s="13">
        <f>SUM(H6:H27)</f>
        <v>11</v>
      </c>
      <c r="I4" s="13">
        <v>25</v>
      </c>
      <c r="J4" s="13">
        <f>SUM(J6:J27)</f>
        <v>29</v>
      </c>
      <c r="K4" s="13">
        <f>SUM(K6:K27)</f>
        <v>4</v>
      </c>
      <c r="L4" s="13">
        <v>51</v>
      </c>
      <c r="M4" s="13">
        <f t="shared" ref="M4:Z4" si="0">SUM(M6:M27)</f>
        <v>58</v>
      </c>
      <c r="N4" s="13">
        <f t="shared" si="0"/>
        <v>7</v>
      </c>
      <c r="O4" s="16">
        <f t="shared" si="0"/>
        <v>1</v>
      </c>
      <c r="P4" s="16">
        <f t="shared" si="0"/>
        <v>0</v>
      </c>
      <c r="Q4" s="17">
        <f t="shared" si="0"/>
        <v>79</v>
      </c>
      <c r="R4" s="13">
        <f t="shared" si="0"/>
        <v>31</v>
      </c>
      <c r="S4" s="13">
        <f t="shared" si="0"/>
        <v>7</v>
      </c>
      <c r="T4" s="13">
        <f t="shared" si="0"/>
        <v>7</v>
      </c>
      <c r="U4" s="13">
        <f t="shared" si="0"/>
        <v>10</v>
      </c>
      <c r="V4" s="13">
        <f t="shared" si="0"/>
        <v>30</v>
      </c>
      <c r="W4" s="13">
        <f t="shared" si="0"/>
        <v>39</v>
      </c>
      <c r="X4" s="13">
        <f t="shared" si="0"/>
        <v>7</v>
      </c>
      <c r="Y4" s="13">
        <f t="shared" si="0"/>
        <v>55</v>
      </c>
      <c r="Z4" s="13">
        <f t="shared" si="0"/>
        <v>17</v>
      </c>
      <c r="AA4" s="13" t="s">
        <v>27</v>
      </c>
    </row>
    <row r="5" spans="1:27" s="8" customFormat="1" ht="16.5" customHeight="1">
      <c r="A5" s="18" t="s">
        <v>28</v>
      </c>
      <c r="B5" s="19"/>
      <c r="C5" s="13"/>
      <c r="D5" s="14"/>
      <c r="E5" s="13"/>
      <c r="F5" s="13"/>
      <c r="G5" s="21"/>
      <c r="H5" s="19"/>
      <c r="I5" s="19"/>
      <c r="J5" s="19"/>
      <c r="K5" s="19"/>
      <c r="L5" s="13"/>
      <c r="M5" s="19"/>
      <c r="N5" s="19"/>
      <c r="O5" s="22"/>
      <c r="P5" s="22"/>
      <c r="Q5" s="17"/>
      <c r="R5" s="13"/>
      <c r="S5" s="19"/>
      <c r="T5" s="19"/>
      <c r="U5" s="19"/>
      <c r="V5" s="19"/>
      <c r="W5" s="13"/>
      <c r="X5" s="19"/>
      <c r="Y5" s="19"/>
      <c r="Z5" s="19"/>
      <c r="AA5" s="19"/>
    </row>
    <row r="6" spans="1:27" s="8" customFormat="1" ht="17" customHeight="1">
      <c r="A6" s="23" t="s">
        <v>29</v>
      </c>
      <c r="B6" s="19">
        <v>7</v>
      </c>
      <c r="C6" s="19">
        <v>15</v>
      </c>
      <c r="D6" s="46">
        <v>15</v>
      </c>
      <c r="E6" s="19">
        <f t="shared" ref="E6:E27" si="1">D6-C6</f>
        <v>0</v>
      </c>
      <c r="F6" s="19">
        <v>12</v>
      </c>
      <c r="G6" s="21">
        <v>15</v>
      </c>
      <c r="H6" s="19">
        <f t="shared" ref="H6:H27" si="2">G6-F6</f>
        <v>3</v>
      </c>
      <c r="I6" s="19">
        <v>5</v>
      </c>
      <c r="J6" s="19">
        <v>7</v>
      </c>
      <c r="K6" s="19">
        <f t="shared" ref="K6:K27" si="3">J6-I6</f>
        <v>2</v>
      </c>
      <c r="L6" s="19">
        <v>7</v>
      </c>
      <c r="M6" s="19">
        <f t="shared" ref="M6:M27" si="4">G6-J6</f>
        <v>8</v>
      </c>
      <c r="N6" s="19">
        <f t="shared" ref="N6:N27" si="5">M6-L6</f>
        <v>1</v>
      </c>
      <c r="O6" s="22"/>
      <c r="P6" s="22"/>
      <c r="Q6" s="25">
        <v>7</v>
      </c>
      <c r="R6" s="19">
        <v>2</v>
      </c>
      <c r="S6" s="19">
        <v>2</v>
      </c>
      <c r="T6" s="19">
        <v>1</v>
      </c>
      <c r="U6" s="19">
        <v>2</v>
      </c>
      <c r="V6" s="19">
        <v>4</v>
      </c>
      <c r="W6" s="19">
        <f t="shared" ref="W6:W27" si="6">Q6-U6-V6</f>
        <v>1</v>
      </c>
      <c r="X6" s="19">
        <v>0</v>
      </c>
      <c r="Y6" s="19">
        <v>7</v>
      </c>
      <c r="Z6" s="19">
        <v>0</v>
      </c>
      <c r="AA6" s="26"/>
    </row>
    <row r="7" spans="1:27" s="8" customFormat="1" ht="17" customHeight="1">
      <c r="A7" s="23" t="s">
        <v>30</v>
      </c>
      <c r="B7" s="19">
        <v>3</v>
      </c>
      <c r="C7" s="19">
        <v>5</v>
      </c>
      <c r="D7" s="46">
        <v>5</v>
      </c>
      <c r="E7" s="19">
        <f t="shared" si="1"/>
        <v>0</v>
      </c>
      <c r="F7" s="19">
        <v>3</v>
      </c>
      <c r="G7" s="21">
        <v>5</v>
      </c>
      <c r="H7" s="19">
        <f t="shared" si="2"/>
        <v>2</v>
      </c>
      <c r="I7" s="19">
        <v>1</v>
      </c>
      <c r="J7" s="19">
        <v>2</v>
      </c>
      <c r="K7" s="19">
        <f t="shared" si="3"/>
        <v>1</v>
      </c>
      <c r="L7" s="19">
        <v>2</v>
      </c>
      <c r="M7" s="19">
        <f t="shared" si="4"/>
        <v>3</v>
      </c>
      <c r="N7" s="19">
        <f t="shared" si="5"/>
        <v>1</v>
      </c>
      <c r="O7" s="22"/>
      <c r="P7" s="22"/>
      <c r="Q7" s="25">
        <v>3</v>
      </c>
      <c r="R7" s="19">
        <v>0</v>
      </c>
      <c r="S7" s="19">
        <v>1</v>
      </c>
      <c r="T7" s="19">
        <v>1</v>
      </c>
      <c r="U7" s="19">
        <v>0</v>
      </c>
      <c r="V7" s="19">
        <v>1</v>
      </c>
      <c r="W7" s="19">
        <f t="shared" si="6"/>
        <v>2</v>
      </c>
      <c r="X7" s="19">
        <v>0</v>
      </c>
      <c r="Y7" s="19">
        <v>3</v>
      </c>
      <c r="Z7" s="19">
        <v>0</v>
      </c>
      <c r="AA7" s="26"/>
    </row>
    <row r="8" spans="1:27" s="8" customFormat="1" ht="17" customHeight="1">
      <c r="A8" s="23" t="s">
        <v>31</v>
      </c>
      <c r="B8" s="19">
        <v>4</v>
      </c>
      <c r="C8" s="19">
        <v>8</v>
      </c>
      <c r="D8" s="46">
        <v>8</v>
      </c>
      <c r="E8" s="19">
        <f t="shared" si="1"/>
        <v>0</v>
      </c>
      <c r="F8" s="19">
        <v>3</v>
      </c>
      <c r="G8" s="21">
        <v>4</v>
      </c>
      <c r="H8" s="19">
        <f t="shared" si="2"/>
        <v>1</v>
      </c>
      <c r="I8" s="19">
        <v>0</v>
      </c>
      <c r="J8" s="19">
        <v>0</v>
      </c>
      <c r="K8" s="19">
        <f t="shared" si="3"/>
        <v>0</v>
      </c>
      <c r="L8" s="19">
        <v>3</v>
      </c>
      <c r="M8" s="19">
        <f t="shared" si="4"/>
        <v>4</v>
      </c>
      <c r="N8" s="19">
        <f t="shared" si="5"/>
        <v>1</v>
      </c>
      <c r="O8" s="22"/>
      <c r="P8" s="22"/>
      <c r="Q8" s="25">
        <v>8</v>
      </c>
      <c r="R8" s="19">
        <v>3</v>
      </c>
      <c r="S8" s="19">
        <v>0</v>
      </c>
      <c r="T8" s="19">
        <v>1</v>
      </c>
      <c r="U8" s="19">
        <v>1</v>
      </c>
      <c r="V8" s="19">
        <v>3</v>
      </c>
      <c r="W8" s="19">
        <f t="shared" si="6"/>
        <v>4</v>
      </c>
      <c r="X8" s="19">
        <v>1</v>
      </c>
      <c r="Y8" s="19">
        <v>5</v>
      </c>
      <c r="Z8" s="4">
        <v>2</v>
      </c>
      <c r="AA8" s="5"/>
    </row>
    <row r="9" spans="1:27" s="8" customFormat="1" ht="17" customHeight="1">
      <c r="A9" s="23" t="s">
        <v>32</v>
      </c>
      <c r="B9" s="19">
        <v>2</v>
      </c>
      <c r="C9" s="19">
        <v>4</v>
      </c>
      <c r="D9" s="46">
        <v>5</v>
      </c>
      <c r="E9" s="19">
        <f t="shared" si="1"/>
        <v>1</v>
      </c>
      <c r="F9" s="19">
        <v>2</v>
      </c>
      <c r="G9" s="21">
        <v>3</v>
      </c>
      <c r="H9" s="19">
        <f t="shared" si="2"/>
        <v>1</v>
      </c>
      <c r="I9" s="19">
        <v>0</v>
      </c>
      <c r="J9" s="19">
        <v>0</v>
      </c>
      <c r="K9" s="19">
        <f t="shared" si="3"/>
        <v>0</v>
      </c>
      <c r="L9" s="19">
        <v>2</v>
      </c>
      <c r="M9" s="19">
        <f t="shared" si="4"/>
        <v>3</v>
      </c>
      <c r="N9" s="19">
        <f t="shared" si="5"/>
        <v>1</v>
      </c>
      <c r="O9" s="22"/>
      <c r="P9" s="22"/>
      <c r="Q9" s="25">
        <v>4</v>
      </c>
      <c r="R9" s="19">
        <v>0</v>
      </c>
      <c r="S9" s="19">
        <v>2</v>
      </c>
      <c r="T9" s="19">
        <v>0</v>
      </c>
      <c r="U9" s="19">
        <v>0</v>
      </c>
      <c r="V9" s="19">
        <v>2</v>
      </c>
      <c r="W9" s="19">
        <f t="shared" si="6"/>
        <v>2</v>
      </c>
      <c r="X9" s="19">
        <v>0</v>
      </c>
      <c r="Y9" s="19">
        <v>4</v>
      </c>
      <c r="Z9" s="19">
        <v>0</v>
      </c>
      <c r="AA9" s="5"/>
    </row>
    <row r="10" spans="1:27" s="8" customFormat="1" ht="17" customHeight="1">
      <c r="A10" s="23" t="s">
        <v>33</v>
      </c>
      <c r="B10" s="19">
        <v>5</v>
      </c>
      <c r="C10" s="19">
        <v>1</v>
      </c>
      <c r="D10" s="46">
        <v>1</v>
      </c>
      <c r="E10" s="19">
        <f t="shared" si="1"/>
        <v>0</v>
      </c>
      <c r="F10" s="19">
        <v>5</v>
      </c>
      <c r="G10" s="21">
        <v>5</v>
      </c>
      <c r="H10" s="19">
        <f t="shared" si="2"/>
        <v>0</v>
      </c>
      <c r="I10" s="19">
        <v>1</v>
      </c>
      <c r="J10" s="19">
        <v>1</v>
      </c>
      <c r="K10" s="19">
        <f t="shared" si="3"/>
        <v>0</v>
      </c>
      <c r="L10" s="19">
        <v>4</v>
      </c>
      <c r="M10" s="19">
        <f t="shared" si="4"/>
        <v>4</v>
      </c>
      <c r="N10" s="19">
        <f t="shared" si="5"/>
        <v>0</v>
      </c>
      <c r="O10" s="22"/>
      <c r="P10" s="22"/>
      <c r="Q10" s="25">
        <v>1</v>
      </c>
      <c r="R10" s="19">
        <v>1</v>
      </c>
      <c r="S10" s="19">
        <v>0</v>
      </c>
      <c r="T10" s="19">
        <v>0</v>
      </c>
      <c r="U10" s="19">
        <v>0</v>
      </c>
      <c r="V10" s="19">
        <v>1</v>
      </c>
      <c r="W10" s="19">
        <f t="shared" si="6"/>
        <v>0</v>
      </c>
      <c r="X10" s="19">
        <v>0</v>
      </c>
      <c r="Y10" s="19">
        <v>1</v>
      </c>
      <c r="Z10" s="19">
        <v>0</v>
      </c>
      <c r="AA10" s="26"/>
    </row>
    <row r="11" spans="1:27" s="8" customFormat="1" ht="17" customHeight="1">
      <c r="A11" s="23" t="s">
        <v>34</v>
      </c>
      <c r="B11" s="19">
        <v>0</v>
      </c>
      <c r="C11" s="19">
        <v>0</v>
      </c>
      <c r="D11" s="46">
        <v>0</v>
      </c>
      <c r="E11" s="19">
        <f t="shared" si="1"/>
        <v>0</v>
      </c>
      <c r="F11" s="19">
        <v>0</v>
      </c>
      <c r="G11" s="21">
        <v>0</v>
      </c>
      <c r="H11" s="19">
        <f t="shared" si="2"/>
        <v>0</v>
      </c>
      <c r="I11" s="19">
        <v>0</v>
      </c>
      <c r="J11" s="19">
        <v>0</v>
      </c>
      <c r="K11" s="19">
        <f t="shared" si="3"/>
        <v>0</v>
      </c>
      <c r="L11" s="19">
        <v>0</v>
      </c>
      <c r="M11" s="19">
        <f t="shared" si="4"/>
        <v>0</v>
      </c>
      <c r="N11" s="19">
        <f t="shared" si="5"/>
        <v>0</v>
      </c>
      <c r="O11" s="22"/>
      <c r="P11" s="22"/>
      <c r="Q11" s="25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f t="shared" si="6"/>
        <v>0</v>
      </c>
      <c r="X11" s="19">
        <v>0</v>
      </c>
      <c r="Y11" s="19">
        <v>0</v>
      </c>
      <c r="Z11" s="19">
        <v>0</v>
      </c>
      <c r="AA11" s="26"/>
    </row>
    <row r="12" spans="1:27" s="8" customFormat="1" ht="17" customHeight="1">
      <c r="A12" s="23" t="s">
        <v>35</v>
      </c>
      <c r="B12" s="19">
        <v>0</v>
      </c>
      <c r="C12" s="19">
        <v>1</v>
      </c>
      <c r="D12" s="46">
        <v>1</v>
      </c>
      <c r="E12" s="19">
        <f t="shared" si="1"/>
        <v>0</v>
      </c>
      <c r="F12" s="19">
        <v>1</v>
      </c>
      <c r="G12" s="21">
        <v>1</v>
      </c>
      <c r="H12" s="19">
        <f t="shared" si="2"/>
        <v>0</v>
      </c>
      <c r="I12" s="19">
        <v>1</v>
      </c>
      <c r="J12" s="19">
        <v>1</v>
      </c>
      <c r="K12" s="19">
        <f t="shared" si="3"/>
        <v>0</v>
      </c>
      <c r="L12" s="19">
        <v>0</v>
      </c>
      <c r="M12" s="19">
        <f t="shared" si="4"/>
        <v>0</v>
      </c>
      <c r="N12" s="19">
        <f t="shared" si="5"/>
        <v>0</v>
      </c>
      <c r="O12" s="22"/>
      <c r="P12" s="22"/>
      <c r="Q12" s="25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f t="shared" si="6"/>
        <v>0</v>
      </c>
      <c r="X12" s="19">
        <v>0</v>
      </c>
      <c r="Y12" s="19">
        <v>0</v>
      </c>
      <c r="Z12" s="19">
        <v>0</v>
      </c>
      <c r="AA12" s="26"/>
    </row>
    <row r="13" spans="1:27" s="8" customFormat="1" ht="17" customHeight="1">
      <c r="A13" s="23" t="s">
        <v>36</v>
      </c>
      <c r="B13" s="19">
        <v>0</v>
      </c>
      <c r="C13" s="19">
        <v>3</v>
      </c>
      <c r="D13" s="46">
        <v>3</v>
      </c>
      <c r="E13" s="19">
        <f t="shared" si="1"/>
        <v>0</v>
      </c>
      <c r="F13" s="19">
        <v>2</v>
      </c>
      <c r="G13" s="21">
        <v>2</v>
      </c>
      <c r="H13" s="19">
        <f t="shared" si="2"/>
        <v>0</v>
      </c>
      <c r="I13" s="19">
        <v>1</v>
      </c>
      <c r="J13" s="19">
        <v>1</v>
      </c>
      <c r="K13" s="19">
        <f t="shared" si="3"/>
        <v>0</v>
      </c>
      <c r="L13" s="19">
        <v>1</v>
      </c>
      <c r="M13" s="19">
        <f t="shared" si="4"/>
        <v>1</v>
      </c>
      <c r="N13" s="19">
        <f t="shared" si="5"/>
        <v>0</v>
      </c>
      <c r="O13" s="22"/>
      <c r="P13" s="22"/>
      <c r="Q13" s="25">
        <v>1</v>
      </c>
      <c r="R13" s="19">
        <v>1</v>
      </c>
      <c r="S13" s="19">
        <v>0</v>
      </c>
      <c r="T13" s="19">
        <v>0</v>
      </c>
      <c r="U13" s="19">
        <v>0</v>
      </c>
      <c r="V13" s="19">
        <v>1</v>
      </c>
      <c r="W13" s="19">
        <f t="shared" si="6"/>
        <v>0</v>
      </c>
      <c r="X13" s="19">
        <v>0</v>
      </c>
      <c r="Y13" s="19">
        <v>1</v>
      </c>
      <c r="Z13" s="19">
        <v>0</v>
      </c>
      <c r="AA13" s="26"/>
    </row>
    <row r="14" spans="1:27" s="8" customFormat="1" ht="17" customHeight="1">
      <c r="A14" s="23" t="s">
        <v>37</v>
      </c>
      <c r="B14" s="19">
        <v>1</v>
      </c>
      <c r="C14" s="19">
        <v>2</v>
      </c>
      <c r="D14" s="46">
        <v>2</v>
      </c>
      <c r="E14" s="19">
        <f t="shared" si="1"/>
        <v>0</v>
      </c>
      <c r="F14" s="19">
        <v>1</v>
      </c>
      <c r="G14" s="21">
        <v>1</v>
      </c>
      <c r="H14" s="19">
        <f t="shared" si="2"/>
        <v>0</v>
      </c>
      <c r="I14" s="19">
        <v>0</v>
      </c>
      <c r="J14" s="19">
        <v>0</v>
      </c>
      <c r="K14" s="19">
        <f t="shared" si="3"/>
        <v>0</v>
      </c>
      <c r="L14" s="19">
        <v>1</v>
      </c>
      <c r="M14" s="19">
        <f t="shared" si="4"/>
        <v>1</v>
      </c>
      <c r="N14" s="19">
        <f t="shared" si="5"/>
        <v>0</v>
      </c>
      <c r="O14" s="22"/>
      <c r="P14" s="22"/>
      <c r="Q14" s="25">
        <v>2</v>
      </c>
      <c r="R14" s="19">
        <v>1</v>
      </c>
      <c r="S14" s="19">
        <v>0</v>
      </c>
      <c r="T14" s="19">
        <v>0</v>
      </c>
      <c r="U14" s="19">
        <v>0</v>
      </c>
      <c r="V14" s="19">
        <v>1</v>
      </c>
      <c r="W14" s="19">
        <f t="shared" si="6"/>
        <v>1</v>
      </c>
      <c r="X14" s="19">
        <v>0</v>
      </c>
      <c r="Y14" s="19">
        <v>1</v>
      </c>
      <c r="Z14" s="4">
        <v>1</v>
      </c>
      <c r="AA14" s="5"/>
    </row>
    <row r="15" spans="1:27" s="8" customFormat="1" ht="17" customHeight="1">
      <c r="A15" s="23" t="s">
        <v>38</v>
      </c>
      <c r="B15" s="19">
        <v>0</v>
      </c>
      <c r="C15" s="19">
        <v>2</v>
      </c>
      <c r="D15" s="46">
        <v>2</v>
      </c>
      <c r="E15" s="19">
        <f t="shared" si="1"/>
        <v>0</v>
      </c>
      <c r="F15" s="19">
        <v>0</v>
      </c>
      <c r="G15" s="21">
        <v>0</v>
      </c>
      <c r="H15" s="19">
        <f t="shared" si="2"/>
        <v>0</v>
      </c>
      <c r="I15" s="19">
        <v>0</v>
      </c>
      <c r="J15" s="19">
        <v>0</v>
      </c>
      <c r="K15" s="19">
        <f t="shared" si="3"/>
        <v>0</v>
      </c>
      <c r="L15" s="19">
        <v>0</v>
      </c>
      <c r="M15" s="19">
        <f t="shared" si="4"/>
        <v>0</v>
      </c>
      <c r="N15" s="19">
        <f t="shared" si="5"/>
        <v>0</v>
      </c>
      <c r="O15" s="22"/>
      <c r="P15" s="22"/>
      <c r="Q15" s="25">
        <v>2</v>
      </c>
      <c r="R15" s="19">
        <v>0</v>
      </c>
      <c r="S15" s="19">
        <v>1</v>
      </c>
      <c r="T15" s="19">
        <v>0</v>
      </c>
      <c r="U15" s="19">
        <v>0</v>
      </c>
      <c r="V15" s="19">
        <v>1</v>
      </c>
      <c r="W15" s="19">
        <f t="shared" si="6"/>
        <v>1</v>
      </c>
      <c r="X15" s="19">
        <v>0</v>
      </c>
      <c r="Y15" s="19">
        <v>1</v>
      </c>
      <c r="Z15" s="4">
        <v>1</v>
      </c>
      <c r="AA15" s="5"/>
    </row>
    <row r="16" spans="1:27" s="8" customFormat="1" ht="17" customHeight="1">
      <c r="A16" s="23" t="s">
        <v>39</v>
      </c>
      <c r="B16" s="19">
        <v>2</v>
      </c>
      <c r="C16" s="19">
        <v>2</v>
      </c>
      <c r="D16" s="46">
        <v>3</v>
      </c>
      <c r="E16" s="19">
        <f t="shared" si="1"/>
        <v>1</v>
      </c>
      <c r="F16" s="19">
        <v>2</v>
      </c>
      <c r="G16" s="21">
        <v>2</v>
      </c>
      <c r="H16" s="19">
        <f t="shared" si="2"/>
        <v>0</v>
      </c>
      <c r="I16" s="19">
        <v>0</v>
      </c>
      <c r="J16" s="19">
        <v>0</v>
      </c>
      <c r="K16" s="19">
        <f t="shared" si="3"/>
        <v>0</v>
      </c>
      <c r="L16" s="19">
        <v>2</v>
      </c>
      <c r="M16" s="19">
        <f t="shared" si="4"/>
        <v>2</v>
      </c>
      <c r="N16" s="19">
        <f t="shared" si="5"/>
        <v>0</v>
      </c>
      <c r="O16" s="22"/>
      <c r="P16" s="22"/>
      <c r="Q16" s="25">
        <v>3</v>
      </c>
      <c r="R16" s="19">
        <v>1</v>
      </c>
      <c r="S16" s="19">
        <v>0</v>
      </c>
      <c r="T16" s="19">
        <v>2</v>
      </c>
      <c r="U16" s="19">
        <v>0</v>
      </c>
      <c r="V16" s="19">
        <v>0</v>
      </c>
      <c r="W16" s="19">
        <f t="shared" si="6"/>
        <v>3</v>
      </c>
      <c r="X16" s="19">
        <v>0</v>
      </c>
      <c r="Y16" s="19">
        <v>2</v>
      </c>
      <c r="Z16" s="19">
        <v>1</v>
      </c>
      <c r="AA16" s="26"/>
    </row>
    <row r="17" spans="1:45" s="8" customFormat="1" ht="17" customHeight="1">
      <c r="A17" s="23" t="s">
        <v>40</v>
      </c>
      <c r="B17" s="19">
        <v>1</v>
      </c>
      <c r="C17" s="19">
        <v>2</v>
      </c>
      <c r="D17" s="46">
        <v>2</v>
      </c>
      <c r="E17" s="19">
        <f t="shared" si="1"/>
        <v>0</v>
      </c>
      <c r="F17" s="19">
        <v>0</v>
      </c>
      <c r="G17" s="21">
        <v>0</v>
      </c>
      <c r="H17" s="19">
        <f t="shared" si="2"/>
        <v>0</v>
      </c>
      <c r="I17" s="19">
        <v>0</v>
      </c>
      <c r="J17" s="19">
        <v>0</v>
      </c>
      <c r="K17" s="19">
        <f t="shared" si="3"/>
        <v>0</v>
      </c>
      <c r="L17" s="19">
        <v>0</v>
      </c>
      <c r="M17" s="19">
        <f t="shared" si="4"/>
        <v>0</v>
      </c>
      <c r="N17" s="19">
        <f t="shared" si="5"/>
        <v>0</v>
      </c>
      <c r="O17" s="22"/>
      <c r="P17" s="22"/>
      <c r="Q17" s="25">
        <v>3</v>
      </c>
      <c r="R17" s="19">
        <v>2</v>
      </c>
      <c r="S17" s="19">
        <v>0</v>
      </c>
      <c r="T17" s="19">
        <v>0</v>
      </c>
      <c r="U17" s="19">
        <v>1</v>
      </c>
      <c r="V17" s="19">
        <v>2</v>
      </c>
      <c r="W17" s="19">
        <f t="shared" si="6"/>
        <v>0</v>
      </c>
      <c r="X17" s="19">
        <v>0</v>
      </c>
      <c r="Y17" s="19">
        <v>3</v>
      </c>
      <c r="Z17" s="19">
        <v>0</v>
      </c>
      <c r="AA17" s="26"/>
    </row>
    <row r="18" spans="1:45" s="8" customFormat="1" ht="17" customHeight="1">
      <c r="A18" s="23" t="s">
        <v>41</v>
      </c>
      <c r="B18" s="19">
        <v>1</v>
      </c>
      <c r="C18" s="19">
        <v>2</v>
      </c>
      <c r="D18" s="46">
        <v>2</v>
      </c>
      <c r="E18" s="19">
        <f t="shared" si="1"/>
        <v>0</v>
      </c>
      <c r="F18" s="19">
        <v>1</v>
      </c>
      <c r="G18" s="21">
        <v>1</v>
      </c>
      <c r="H18" s="19">
        <f t="shared" si="2"/>
        <v>0</v>
      </c>
      <c r="I18" s="19">
        <v>0</v>
      </c>
      <c r="J18" s="19">
        <v>0</v>
      </c>
      <c r="K18" s="19">
        <f t="shared" si="3"/>
        <v>0</v>
      </c>
      <c r="L18" s="19">
        <v>1</v>
      </c>
      <c r="M18" s="19">
        <f t="shared" si="4"/>
        <v>1</v>
      </c>
      <c r="N18" s="19">
        <f t="shared" si="5"/>
        <v>0</v>
      </c>
      <c r="O18" s="22"/>
      <c r="P18" s="22"/>
      <c r="Q18" s="25">
        <v>2</v>
      </c>
      <c r="R18" s="19">
        <v>2</v>
      </c>
      <c r="S18" s="19">
        <v>0</v>
      </c>
      <c r="T18" s="19">
        <v>0</v>
      </c>
      <c r="U18" s="19">
        <v>0</v>
      </c>
      <c r="V18" s="19">
        <v>1</v>
      </c>
      <c r="W18" s="19">
        <f t="shared" si="6"/>
        <v>1</v>
      </c>
      <c r="X18" s="19">
        <v>0</v>
      </c>
      <c r="Y18" s="19">
        <v>2</v>
      </c>
      <c r="Z18" s="19">
        <v>0</v>
      </c>
      <c r="AA18" s="26"/>
    </row>
    <row r="19" spans="1:45" s="8" customFormat="1" ht="17" customHeight="1">
      <c r="A19" s="23" t="s">
        <v>42</v>
      </c>
      <c r="B19" s="19">
        <v>1</v>
      </c>
      <c r="C19" s="19">
        <v>2</v>
      </c>
      <c r="D19" s="46">
        <v>3</v>
      </c>
      <c r="E19" s="19">
        <f t="shared" si="1"/>
        <v>1</v>
      </c>
      <c r="F19" s="19">
        <v>1</v>
      </c>
      <c r="G19" s="21">
        <v>2</v>
      </c>
      <c r="H19" s="19">
        <f t="shared" si="2"/>
        <v>1</v>
      </c>
      <c r="I19" s="19">
        <v>0</v>
      </c>
      <c r="J19" s="19">
        <v>1</v>
      </c>
      <c r="K19" s="19">
        <f t="shared" si="3"/>
        <v>1</v>
      </c>
      <c r="L19" s="19">
        <v>1</v>
      </c>
      <c r="M19" s="19">
        <f t="shared" si="4"/>
        <v>1</v>
      </c>
      <c r="N19" s="19">
        <f t="shared" si="5"/>
        <v>0</v>
      </c>
      <c r="O19" s="22"/>
      <c r="P19" s="22"/>
      <c r="Q19" s="25">
        <v>2</v>
      </c>
      <c r="R19" s="19">
        <v>1</v>
      </c>
      <c r="S19" s="19">
        <v>0</v>
      </c>
      <c r="T19" s="19">
        <v>0</v>
      </c>
      <c r="U19" s="19">
        <v>1</v>
      </c>
      <c r="V19" s="19">
        <v>1</v>
      </c>
      <c r="W19" s="19">
        <f t="shared" si="6"/>
        <v>0</v>
      </c>
      <c r="X19" s="19">
        <v>0</v>
      </c>
      <c r="Y19" s="19">
        <v>1</v>
      </c>
      <c r="Z19" s="4">
        <v>1</v>
      </c>
      <c r="AA19" s="5"/>
    </row>
    <row r="20" spans="1:45" s="8" customFormat="1" ht="17" customHeight="1">
      <c r="A20" s="23" t="s">
        <v>43</v>
      </c>
      <c r="B20" s="19">
        <v>1</v>
      </c>
      <c r="C20" s="19">
        <v>5</v>
      </c>
      <c r="D20" s="46">
        <v>5</v>
      </c>
      <c r="E20" s="19">
        <f t="shared" si="1"/>
        <v>0</v>
      </c>
      <c r="F20" s="19">
        <v>4</v>
      </c>
      <c r="G20" s="21">
        <v>4</v>
      </c>
      <c r="H20" s="19">
        <f t="shared" si="2"/>
        <v>0</v>
      </c>
      <c r="I20" s="19">
        <v>3</v>
      </c>
      <c r="J20" s="19">
        <v>3</v>
      </c>
      <c r="K20" s="19">
        <f t="shared" si="3"/>
        <v>0</v>
      </c>
      <c r="L20" s="19">
        <v>1</v>
      </c>
      <c r="M20" s="19">
        <f t="shared" si="4"/>
        <v>1</v>
      </c>
      <c r="N20" s="19">
        <f t="shared" si="5"/>
        <v>0</v>
      </c>
      <c r="O20" s="22"/>
      <c r="P20" s="22"/>
      <c r="Q20" s="25">
        <v>2</v>
      </c>
      <c r="R20" s="19">
        <v>1</v>
      </c>
      <c r="S20" s="19">
        <v>0</v>
      </c>
      <c r="T20" s="19">
        <v>0</v>
      </c>
      <c r="U20" s="19">
        <v>0</v>
      </c>
      <c r="V20" s="19">
        <v>0</v>
      </c>
      <c r="W20" s="19">
        <f t="shared" si="6"/>
        <v>2</v>
      </c>
      <c r="X20" s="19">
        <v>0</v>
      </c>
      <c r="Y20" s="19">
        <v>2</v>
      </c>
      <c r="Z20" s="19">
        <v>0</v>
      </c>
      <c r="AA20" s="26"/>
    </row>
    <row r="21" spans="1:45" s="8" customFormat="1" ht="17" customHeight="1">
      <c r="A21" s="23" t="s">
        <v>44</v>
      </c>
      <c r="B21" s="19">
        <v>2</v>
      </c>
      <c r="C21" s="19">
        <v>1</v>
      </c>
      <c r="D21" s="46">
        <v>1</v>
      </c>
      <c r="E21" s="19">
        <f t="shared" si="1"/>
        <v>0</v>
      </c>
      <c r="F21" s="19">
        <v>2</v>
      </c>
      <c r="G21" s="21">
        <v>2</v>
      </c>
      <c r="H21" s="19">
        <f t="shared" si="2"/>
        <v>0</v>
      </c>
      <c r="I21" s="19">
        <v>1</v>
      </c>
      <c r="J21" s="19">
        <v>1</v>
      </c>
      <c r="K21" s="19">
        <f t="shared" si="3"/>
        <v>0</v>
      </c>
      <c r="L21" s="19">
        <v>1</v>
      </c>
      <c r="M21" s="19">
        <f t="shared" si="4"/>
        <v>1</v>
      </c>
      <c r="N21" s="19">
        <f t="shared" si="5"/>
        <v>0</v>
      </c>
      <c r="O21" s="22"/>
      <c r="P21" s="22"/>
      <c r="Q21" s="25">
        <v>1</v>
      </c>
      <c r="R21" s="19">
        <v>0</v>
      </c>
      <c r="S21" s="19">
        <v>0</v>
      </c>
      <c r="T21" s="19">
        <v>0</v>
      </c>
      <c r="U21" s="19">
        <v>0</v>
      </c>
      <c r="V21" s="19">
        <v>1</v>
      </c>
      <c r="W21" s="19">
        <f t="shared" si="6"/>
        <v>0</v>
      </c>
      <c r="X21" s="19">
        <v>0</v>
      </c>
      <c r="Y21" s="19">
        <v>1</v>
      </c>
      <c r="Z21" s="19">
        <v>0</v>
      </c>
      <c r="AA21" s="26"/>
    </row>
    <row r="22" spans="1:45" s="8" customFormat="1" ht="17" customHeight="1">
      <c r="A22" s="18" t="s">
        <v>45</v>
      </c>
      <c r="B22" s="19">
        <v>3</v>
      </c>
      <c r="C22" s="19">
        <v>4</v>
      </c>
      <c r="D22" s="46">
        <v>4</v>
      </c>
      <c r="E22" s="19">
        <f t="shared" si="1"/>
        <v>0</v>
      </c>
      <c r="F22" s="19">
        <v>2</v>
      </c>
      <c r="G22" s="21">
        <v>2</v>
      </c>
      <c r="H22" s="19">
        <f t="shared" si="2"/>
        <v>0</v>
      </c>
      <c r="I22" s="4">
        <v>0</v>
      </c>
      <c r="J22" s="4">
        <v>0</v>
      </c>
      <c r="K22" s="19">
        <f t="shared" si="3"/>
        <v>0</v>
      </c>
      <c r="L22" s="19">
        <v>2</v>
      </c>
      <c r="M22" s="19">
        <f t="shared" si="4"/>
        <v>2</v>
      </c>
      <c r="N22" s="19">
        <f t="shared" si="5"/>
        <v>0</v>
      </c>
      <c r="O22" s="22"/>
      <c r="P22" s="22"/>
      <c r="Q22" s="25">
        <v>5</v>
      </c>
      <c r="R22" s="19">
        <v>4</v>
      </c>
      <c r="S22" s="19">
        <v>0</v>
      </c>
      <c r="T22" s="19">
        <v>0</v>
      </c>
      <c r="U22" s="19">
        <v>1</v>
      </c>
      <c r="V22" s="4">
        <v>1</v>
      </c>
      <c r="W22" s="19">
        <f t="shared" si="6"/>
        <v>3</v>
      </c>
      <c r="X22" s="19">
        <v>0</v>
      </c>
      <c r="Y22" s="19">
        <v>3</v>
      </c>
      <c r="Z22" s="4">
        <v>2</v>
      </c>
      <c r="AA22" s="5"/>
    </row>
    <row r="23" spans="1:45" s="8" customFormat="1" ht="17" customHeight="1">
      <c r="A23" s="23" t="s">
        <v>46</v>
      </c>
      <c r="B23" s="19">
        <v>3</v>
      </c>
      <c r="C23" s="19">
        <v>6</v>
      </c>
      <c r="D23" s="46">
        <v>6</v>
      </c>
      <c r="E23" s="19">
        <f t="shared" si="1"/>
        <v>0</v>
      </c>
      <c r="F23" s="19">
        <v>5</v>
      </c>
      <c r="G23" s="21">
        <v>6</v>
      </c>
      <c r="H23" s="19">
        <f t="shared" si="2"/>
        <v>1</v>
      </c>
      <c r="I23" s="19">
        <v>1</v>
      </c>
      <c r="J23" s="19">
        <v>1</v>
      </c>
      <c r="K23" s="19">
        <f t="shared" si="3"/>
        <v>0</v>
      </c>
      <c r="L23" s="19">
        <v>4</v>
      </c>
      <c r="M23" s="19">
        <f t="shared" si="4"/>
        <v>5</v>
      </c>
      <c r="N23" s="19">
        <f t="shared" si="5"/>
        <v>1</v>
      </c>
      <c r="O23" s="22">
        <v>1</v>
      </c>
      <c r="P23" s="22"/>
      <c r="Q23" s="25">
        <v>3</v>
      </c>
      <c r="R23" s="19">
        <v>0</v>
      </c>
      <c r="S23" s="19">
        <v>0</v>
      </c>
      <c r="T23" s="19">
        <v>0</v>
      </c>
      <c r="U23" s="19">
        <v>0</v>
      </c>
      <c r="V23" s="19">
        <v>3</v>
      </c>
      <c r="W23" s="19">
        <f t="shared" si="6"/>
        <v>0</v>
      </c>
      <c r="X23" s="19">
        <v>0</v>
      </c>
      <c r="Y23" s="19">
        <v>1</v>
      </c>
      <c r="Z23" s="4">
        <v>2</v>
      </c>
      <c r="AA23" s="5"/>
    </row>
    <row r="24" spans="1:45" s="8" customFormat="1" ht="17" customHeight="1">
      <c r="A24" s="23" t="s">
        <v>47</v>
      </c>
      <c r="B24" s="19">
        <v>2</v>
      </c>
      <c r="C24" s="19">
        <v>1</v>
      </c>
      <c r="D24" s="46">
        <v>1</v>
      </c>
      <c r="E24" s="19">
        <f t="shared" si="1"/>
        <v>0</v>
      </c>
      <c r="F24" s="19">
        <v>3</v>
      </c>
      <c r="G24" s="21">
        <v>3</v>
      </c>
      <c r="H24" s="19">
        <f t="shared" si="2"/>
        <v>0</v>
      </c>
      <c r="I24" s="19">
        <v>1</v>
      </c>
      <c r="J24" s="19">
        <v>1</v>
      </c>
      <c r="K24" s="19">
        <f t="shared" si="3"/>
        <v>0</v>
      </c>
      <c r="L24" s="19">
        <v>2</v>
      </c>
      <c r="M24" s="19">
        <f t="shared" si="4"/>
        <v>2</v>
      </c>
      <c r="N24" s="19">
        <f t="shared" si="5"/>
        <v>0</v>
      </c>
      <c r="O24" s="22"/>
      <c r="P24" s="22"/>
      <c r="Q24" s="25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f t="shared" si="6"/>
        <v>0</v>
      </c>
      <c r="X24" s="19">
        <v>0</v>
      </c>
      <c r="Y24" s="19">
        <v>0</v>
      </c>
      <c r="Z24" s="19">
        <v>0</v>
      </c>
      <c r="AA24" s="5"/>
    </row>
    <row r="25" spans="1:45" s="8" customFormat="1" ht="14">
      <c r="A25" s="23" t="s">
        <v>48</v>
      </c>
      <c r="B25" s="19">
        <v>9</v>
      </c>
      <c r="C25" s="19">
        <v>20</v>
      </c>
      <c r="D25" s="46">
        <v>22</v>
      </c>
      <c r="E25" s="19">
        <f t="shared" si="1"/>
        <v>2</v>
      </c>
      <c r="F25" s="19">
        <v>17</v>
      </c>
      <c r="G25" s="21">
        <v>19</v>
      </c>
      <c r="H25" s="19">
        <f t="shared" si="2"/>
        <v>2</v>
      </c>
      <c r="I25" s="19">
        <v>7</v>
      </c>
      <c r="J25" s="19">
        <v>7</v>
      </c>
      <c r="K25" s="19">
        <f t="shared" si="3"/>
        <v>0</v>
      </c>
      <c r="L25" s="19">
        <v>10</v>
      </c>
      <c r="M25" s="19">
        <f t="shared" si="4"/>
        <v>12</v>
      </c>
      <c r="N25" s="19">
        <f t="shared" si="5"/>
        <v>2</v>
      </c>
      <c r="O25" s="22"/>
      <c r="P25" s="22"/>
      <c r="Q25" s="25">
        <v>12</v>
      </c>
      <c r="R25" s="19">
        <v>5</v>
      </c>
      <c r="S25" s="19">
        <v>0</v>
      </c>
      <c r="T25" s="19">
        <v>0</v>
      </c>
      <c r="U25" s="19">
        <v>2</v>
      </c>
      <c r="V25" s="19">
        <v>4</v>
      </c>
      <c r="W25" s="19">
        <f t="shared" si="6"/>
        <v>6</v>
      </c>
      <c r="X25" s="19">
        <v>2</v>
      </c>
      <c r="Y25" s="19">
        <v>10</v>
      </c>
      <c r="Z25" s="19">
        <v>0</v>
      </c>
      <c r="AA25" s="26"/>
      <c r="AB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</row>
    <row r="26" spans="1:45" s="8" customFormat="1" ht="14">
      <c r="A26" s="23" t="s">
        <v>49</v>
      </c>
      <c r="B26" s="19">
        <v>3</v>
      </c>
      <c r="C26" s="19">
        <v>9</v>
      </c>
      <c r="D26" s="46">
        <v>12</v>
      </c>
      <c r="E26" s="19">
        <f t="shared" si="1"/>
        <v>3</v>
      </c>
      <c r="F26" s="19">
        <v>6</v>
      </c>
      <c r="G26" s="21">
        <v>6</v>
      </c>
      <c r="H26" s="19">
        <f t="shared" si="2"/>
        <v>0</v>
      </c>
      <c r="I26" s="19">
        <v>3</v>
      </c>
      <c r="J26" s="19">
        <v>3</v>
      </c>
      <c r="K26" s="19">
        <f t="shared" si="3"/>
        <v>0</v>
      </c>
      <c r="L26" s="19">
        <v>3</v>
      </c>
      <c r="M26" s="19">
        <f t="shared" si="4"/>
        <v>3</v>
      </c>
      <c r="N26" s="19">
        <f t="shared" si="5"/>
        <v>0</v>
      </c>
      <c r="O26" s="22"/>
      <c r="P26" s="22"/>
      <c r="Q26" s="25">
        <v>9</v>
      </c>
      <c r="R26" s="19">
        <v>3</v>
      </c>
      <c r="S26" s="19">
        <v>0</v>
      </c>
      <c r="T26" s="19">
        <v>1</v>
      </c>
      <c r="U26" s="19">
        <v>1</v>
      </c>
      <c r="V26" s="19">
        <v>2</v>
      </c>
      <c r="W26" s="19">
        <f t="shared" si="6"/>
        <v>6</v>
      </c>
      <c r="X26" s="19">
        <v>2</v>
      </c>
      <c r="Y26" s="19">
        <v>5</v>
      </c>
      <c r="Z26" s="19">
        <v>2</v>
      </c>
      <c r="AA26" s="26"/>
      <c r="AB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</row>
    <row r="27" spans="1:45" s="8" customFormat="1" ht="15">
      <c r="A27" s="29" t="s">
        <v>50</v>
      </c>
      <c r="B27" s="19">
        <v>3</v>
      </c>
      <c r="C27" s="19">
        <v>9</v>
      </c>
      <c r="D27" s="46">
        <v>10</v>
      </c>
      <c r="E27" s="19">
        <f t="shared" si="1"/>
        <v>1</v>
      </c>
      <c r="F27" s="19">
        <v>4</v>
      </c>
      <c r="G27" s="21">
        <v>4</v>
      </c>
      <c r="H27" s="19">
        <f t="shared" si="2"/>
        <v>0</v>
      </c>
      <c r="I27" s="19">
        <v>0</v>
      </c>
      <c r="J27" s="19">
        <v>0</v>
      </c>
      <c r="K27" s="19">
        <f t="shared" si="3"/>
        <v>0</v>
      </c>
      <c r="L27" s="19">
        <v>4</v>
      </c>
      <c r="M27" s="19">
        <f t="shared" si="4"/>
        <v>4</v>
      </c>
      <c r="N27" s="19">
        <f t="shared" si="5"/>
        <v>0</v>
      </c>
      <c r="O27" s="22"/>
      <c r="P27" s="22"/>
      <c r="Q27" s="25">
        <v>9</v>
      </c>
      <c r="R27" s="19">
        <v>4</v>
      </c>
      <c r="S27" s="19">
        <v>1</v>
      </c>
      <c r="T27" s="19">
        <v>1</v>
      </c>
      <c r="U27" s="19">
        <v>1</v>
      </c>
      <c r="V27" s="19">
        <v>1</v>
      </c>
      <c r="W27" s="19">
        <f t="shared" si="6"/>
        <v>7</v>
      </c>
      <c r="X27" s="19">
        <v>2</v>
      </c>
      <c r="Y27" s="19">
        <v>2</v>
      </c>
      <c r="Z27" s="19">
        <v>5</v>
      </c>
      <c r="AA27" s="26"/>
      <c r="AB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</row>
    <row r="28" spans="1:45" ht="20">
      <c r="A28" s="30"/>
      <c r="B28" s="31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45" ht="20">
      <c r="A29" s="30"/>
      <c r="B29" s="31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45" ht="20">
      <c r="A30" s="30"/>
      <c r="B30" s="31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45" ht="20">
      <c r="A31" s="33"/>
      <c r="B31" s="34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45" ht="20">
      <c r="A32" s="30"/>
      <c r="B32" s="31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1:27" ht="20">
      <c r="A33" s="30"/>
      <c r="B33" s="31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1:27" ht="20">
      <c r="A34" s="30"/>
      <c r="B34" s="31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1:27" ht="20">
      <c r="A35" s="30"/>
      <c r="B35" s="31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1:27" ht="20">
      <c r="A36" s="30"/>
      <c r="B36" s="31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1:27" ht="20">
      <c r="A37" s="30"/>
      <c r="B37" s="31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</sheetData>
  <mergeCells count="15">
    <mergeCell ref="S2:S3"/>
    <mergeCell ref="T2:T3"/>
    <mergeCell ref="U2:W2"/>
    <mergeCell ref="X2:Z2"/>
    <mergeCell ref="AA2:AA3"/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</mergeCells>
  <pageMargins left="0.59015748031496063" right="0.19645669291338583" top="0.78740157480314954" bottom="0.59015748031496051" header="0.39370078740157477" footer="0.19645669291338583"/>
  <pageSetup paperSize="0" scale="60" fitToWidth="0" fitToHeight="0" orientation="landscape" horizontalDpi="0" verticalDpi="0" copies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714C3-16DB-4349-B282-0B537D94A937}">
  <dimension ref="A1:XFD37"/>
  <sheetViews>
    <sheetView workbookViewId="0"/>
  </sheetViews>
  <sheetFormatPr baseColWidth="10" defaultRowHeight="13.75"/>
  <cols>
    <col min="1" max="1" width="21" style="3" customWidth="1"/>
    <col min="2" max="2" width="8.6640625" style="35" customWidth="1"/>
    <col min="3" max="10" width="7" style="3" customWidth="1"/>
    <col min="11" max="11" width="6.33203125" style="3" customWidth="1"/>
    <col min="12" max="12" width="6" style="3" customWidth="1"/>
    <col min="13" max="13" width="6.5546875" style="3" customWidth="1"/>
    <col min="14" max="14" width="7.44140625" style="3" customWidth="1"/>
    <col min="15" max="15" width="7.6640625" style="3" customWidth="1"/>
    <col min="16" max="16" width="7" style="3" customWidth="1"/>
    <col min="17" max="17" width="7" style="35" customWidth="1"/>
    <col min="18" max="18" width="6.33203125" style="35" customWidth="1"/>
    <col min="19" max="19" width="6" style="35" customWidth="1"/>
    <col min="20" max="20" width="5.33203125" style="35" customWidth="1"/>
    <col min="21" max="21" width="6.5546875" style="35" customWidth="1"/>
    <col min="22" max="22" width="7.44140625" style="35" customWidth="1"/>
    <col min="23" max="23" width="6.109375" style="35" customWidth="1"/>
    <col min="24" max="24" width="6.6640625" style="35" customWidth="1"/>
    <col min="25" max="25" width="7.109375" style="35" customWidth="1"/>
    <col min="26" max="26" width="7.44140625" style="35" customWidth="1"/>
    <col min="27" max="27" width="107.6640625" style="35" customWidth="1"/>
    <col min="28" max="29" width="7.5546875" style="3" customWidth="1"/>
    <col min="30" max="30" width="10.109375" style="3" customWidth="1"/>
    <col min="31" max="45" width="7.5546875" style="3" customWidth="1"/>
    <col min="46" max="1022" width="9.44140625" style="3" customWidth="1"/>
  </cols>
  <sheetData>
    <row r="1" spans="1:27" ht="20">
      <c r="A1" s="36" t="s">
        <v>62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1"/>
      <c r="P1" s="1"/>
      <c r="Q1" s="37" t="s">
        <v>1</v>
      </c>
      <c r="R1" s="37"/>
      <c r="S1" s="37"/>
      <c r="T1" s="37"/>
      <c r="U1" s="37"/>
      <c r="V1" s="37"/>
      <c r="W1" s="37"/>
      <c r="X1" s="37"/>
      <c r="Y1" s="37"/>
      <c r="Z1" s="37"/>
      <c r="AA1" s="2"/>
    </row>
    <row r="2" spans="1:27" s="8" customFormat="1" ht="46.5" customHeight="1">
      <c r="A2" s="38"/>
      <c r="B2" s="39" t="s">
        <v>2</v>
      </c>
      <c r="C2" s="40" t="s">
        <v>3</v>
      </c>
      <c r="D2" s="40"/>
      <c r="E2" s="40"/>
      <c r="F2" s="41" t="s">
        <v>4</v>
      </c>
      <c r="G2" s="41"/>
      <c r="H2" s="41"/>
      <c r="I2" s="39" t="s">
        <v>5</v>
      </c>
      <c r="J2" s="39"/>
      <c r="K2" s="39"/>
      <c r="L2" s="39"/>
      <c r="M2" s="39"/>
      <c r="N2" s="39"/>
      <c r="O2" s="42" t="s">
        <v>6</v>
      </c>
      <c r="P2" s="42"/>
      <c r="Q2" s="43" t="s">
        <v>7</v>
      </c>
      <c r="R2" s="39" t="s">
        <v>8</v>
      </c>
      <c r="S2" s="39" t="s">
        <v>9</v>
      </c>
      <c r="T2" s="44" t="s">
        <v>10</v>
      </c>
      <c r="U2" s="39" t="s">
        <v>11</v>
      </c>
      <c r="V2" s="39"/>
      <c r="W2" s="39"/>
      <c r="X2" s="39" t="s">
        <v>12</v>
      </c>
      <c r="Y2" s="39"/>
      <c r="Z2" s="39"/>
      <c r="AA2" s="39" t="s">
        <v>13</v>
      </c>
    </row>
    <row r="3" spans="1:27" s="11" customFormat="1" ht="58.75" customHeight="1">
      <c r="A3" s="38"/>
      <c r="B3" s="39"/>
      <c r="C3" s="5" t="s">
        <v>14</v>
      </c>
      <c r="D3" s="6" t="s">
        <v>7</v>
      </c>
      <c r="E3" s="5" t="s">
        <v>58</v>
      </c>
      <c r="F3" s="5" t="s">
        <v>14</v>
      </c>
      <c r="G3" s="7" t="s">
        <v>7</v>
      </c>
      <c r="H3" s="5" t="s">
        <v>58</v>
      </c>
      <c r="I3" s="5" t="s">
        <v>14</v>
      </c>
      <c r="J3" s="5" t="s">
        <v>16</v>
      </c>
      <c r="K3" s="5" t="s">
        <v>58</v>
      </c>
      <c r="L3" s="5" t="s">
        <v>14</v>
      </c>
      <c r="M3" s="5" t="s">
        <v>17</v>
      </c>
      <c r="N3" s="5" t="s">
        <v>58</v>
      </c>
      <c r="O3" s="9" t="s">
        <v>18</v>
      </c>
      <c r="P3" s="9" t="s">
        <v>19</v>
      </c>
      <c r="Q3" s="43"/>
      <c r="R3" s="39"/>
      <c r="S3" s="39"/>
      <c r="T3" s="44"/>
      <c r="U3" s="10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39"/>
    </row>
    <row r="4" spans="1:27" s="8" customFormat="1" ht="17" customHeight="1">
      <c r="A4" s="12" t="s">
        <v>26</v>
      </c>
      <c r="B4" s="13">
        <f t="shared" ref="B4:Z4" si="0">SUM(B6:B27)</f>
        <v>53</v>
      </c>
      <c r="C4" s="13">
        <f t="shared" si="0"/>
        <v>97</v>
      </c>
      <c r="D4" s="14">
        <f t="shared" si="0"/>
        <v>104</v>
      </c>
      <c r="E4" s="13">
        <f t="shared" si="0"/>
        <v>7</v>
      </c>
      <c r="F4" s="13">
        <f t="shared" si="0"/>
        <v>73</v>
      </c>
      <c r="G4" s="15">
        <f t="shared" si="0"/>
        <v>76</v>
      </c>
      <c r="H4" s="13">
        <f t="shared" si="0"/>
        <v>3</v>
      </c>
      <c r="I4" s="13">
        <f t="shared" si="0"/>
        <v>24</v>
      </c>
      <c r="J4" s="13">
        <f t="shared" si="0"/>
        <v>25</v>
      </c>
      <c r="K4" s="13">
        <f t="shared" si="0"/>
        <v>1</v>
      </c>
      <c r="L4" s="13">
        <f t="shared" si="0"/>
        <v>49</v>
      </c>
      <c r="M4" s="13">
        <f t="shared" si="0"/>
        <v>51</v>
      </c>
      <c r="N4" s="13">
        <f t="shared" si="0"/>
        <v>2</v>
      </c>
      <c r="O4" s="16">
        <f t="shared" si="0"/>
        <v>0</v>
      </c>
      <c r="P4" s="16">
        <f t="shared" si="0"/>
        <v>0</v>
      </c>
      <c r="Q4" s="17">
        <f t="shared" si="0"/>
        <v>81</v>
      </c>
      <c r="R4" s="13">
        <f t="shared" si="0"/>
        <v>29</v>
      </c>
      <c r="S4" s="13">
        <f t="shared" si="0"/>
        <v>11</v>
      </c>
      <c r="T4" s="13">
        <f t="shared" si="0"/>
        <v>8</v>
      </c>
      <c r="U4" s="13">
        <f t="shared" si="0"/>
        <v>10</v>
      </c>
      <c r="V4" s="13">
        <f t="shared" si="0"/>
        <v>31</v>
      </c>
      <c r="W4" s="13">
        <f t="shared" si="0"/>
        <v>40</v>
      </c>
      <c r="X4" s="13">
        <f t="shared" si="0"/>
        <v>5</v>
      </c>
      <c r="Y4" s="13">
        <f t="shared" si="0"/>
        <v>59</v>
      </c>
      <c r="Z4" s="13">
        <f t="shared" si="0"/>
        <v>17</v>
      </c>
      <c r="AA4" s="13" t="s">
        <v>27</v>
      </c>
    </row>
    <row r="5" spans="1:27" s="8" customFormat="1" ht="16.5" customHeight="1">
      <c r="A5" s="18" t="s">
        <v>28</v>
      </c>
      <c r="B5" s="19"/>
      <c r="C5" s="13"/>
      <c r="D5" s="14"/>
      <c r="E5" s="13"/>
      <c r="F5" s="13"/>
      <c r="G5" s="21"/>
      <c r="H5" s="19"/>
      <c r="I5" s="19"/>
      <c r="J5" s="19"/>
      <c r="K5" s="19"/>
      <c r="L5" s="13"/>
      <c r="M5" s="19"/>
      <c r="N5" s="19"/>
      <c r="O5" s="22"/>
      <c r="P5" s="22"/>
      <c r="Q5" s="17"/>
      <c r="R5" s="13"/>
      <c r="S5" s="19"/>
      <c r="T5" s="19"/>
      <c r="U5" s="19"/>
      <c r="V5" s="19"/>
      <c r="W5" s="13"/>
      <c r="X5" s="19"/>
      <c r="Y5" s="19"/>
      <c r="Z5" s="19"/>
      <c r="AA5" s="19"/>
    </row>
    <row r="6" spans="1:27" s="8" customFormat="1" ht="17" customHeight="1">
      <c r="A6" s="23" t="s">
        <v>29</v>
      </c>
      <c r="B6" s="19">
        <v>7</v>
      </c>
      <c r="C6" s="19">
        <v>15</v>
      </c>
      <c r="D6" s="47">
        <v>15</v>
      </c>
      <c r="E6" s="19">
        <f t="shared" ref="E6:E27" si="1">D6-C6</f>
        <v>0</v>
      </c>
      <c r="F6" s="19">
        <v>12</v>
      </c>
      <c r="G6" s="21">
        <v>12</v>
      </c>
      <c r="H6" s="19">
        <f t="shared" ref="H6:H27" si="2">G6-F6</f>
        <v>0</v>
      </c>
      <c r="I6" s="19">
        <v>5</v>
      </c>
      <c r="J6" s="19">
        <v>5</v>
      </c>
      <c r="K6" s="19">
        <f t="shared" ref="K6:K27" si="3">J6-I6</f>
        <v>0</v>
      </c>
      <c r="L6" s="19">
        <f t="shared" ref="L6:L27" si="4">F6-I6</f>
        <v>7</v>
      </c>
      <c r="M6" s="19">
        <f t="shared" ref="M6:M27" si="5">G6-J6</f>
        <v>7</v>
      </c>
      <c r="N6" s="19">
        <f t="shared" ref="N6:N27" si="6">M6-L6</f>
        <v>0</v>
      </c>
      <c r="O6" s="22"/>
      <c r="P6" s="22"/>
      <c r="Q6" s="25">
        <v>10</v>
      </c>
      <c r="R6" s="19">
        <v>2</v>
      </c>
      <c r="S6" s="19">
        <v>4</v>
      </c>
      <c r="T6" s="19">
        <v>1</v>
      </c>
      <c r="U6" s="19">
        <v>2</v>
      </c>
      <c r="V6" s="19">
        <v>6</v>
      </c>
      <c r="W6" s="19">
        <v>2</v>
      </c>
      <c r="X6" s="19">
        <v>0</v>
      </c>
      <c r="Y6" s="19">
        <v>10</v>
      </c>
      <c r="Z6" s="19">
        <v>0</v>
      </c>
      <c r="AA6" s="26"/>
    </row>
    <row r="7" spans="1:27" s="8" customFormat="1" ht="17" customHeight="1">
      <c r="A7" s="23" t="s">
        <v>30</v>
      </c>
      <c r="B7" s="19">
        <v>3</v>
      </c>
      <c r="C7" s="19">
        <v>4</v>
      </c>
      <c r="D7" s="47">
        <v>5</v>
      </c>
      <c r="E7" s="19">
        <f t="shared" si="1"/>
        <v>1</v>
      </c>
      <c r="F7" s="19">
        <v>3</v>
      </c>
      <c r="G7" s="21">
        <v>3</v>
      </c>
      <c r="H7" s="19">
        <f t="shared" si="2"/>
        <v>0</v>
      </c>
      <c r="I7" s="19">
        <v>1</v>
      </c>
      <c r="J7" s="19">
        <v>1</v>
      </c>
      <c r="K7" s="19">
        <f t="shared" si="3"/>
        <v>0</v>
      </c>
      <c r="L7" s="19">
        <f t="shared" si="4"/>
        <v>2</v>
      </c>
      <c r="M7" s="19">
        <f t="shared" si="5"/>
        <v>2</v>
      </c>
      <c r="N7" s="19">
        <f t="shared" si="6"/>
        <v>0</v>
      </c>
      <c r="O7" s="22"/>
      <c r="P7" s="22"/>
      <c r="Q7" s="25">
        <v>5</v>
      </c>
      <c r="R7" s="19">
        <v>0</v>
      </c>
      <c r="S7" s="19">
        <v>2</v>
      </c>
      <c r="T7" s="19">
        <v>2</v>
      </c>
      <c r="U7" s="19">
        <v>0</v>
      </c>
      <c r="V7" s="19">
        <v>1</v>
      </c>
      <c r="W7" s="19">
        <v>4</v>
      </c>
      <c r="X7" s="19">
        <v>0</v>
      </c>
      <c r="Y7" s="19">
        <v>5</v>
      </c>
      <c r="Z7" s="19">
        <v>0</v>
      </c>
      <c r="AA7" s="26"/>
    </row>
    <row r="8" spans="1:27" s="8" customFormat="1" ht="17" customHeight="1">
      <c r="A8" s="23" t="s">
        <v>31</v>
      </c>
      <c r="B8" s="19">
        <v>4</v>
      </c>
      <c r="C8" s="19">
        <v>8</v>
      </c>
      <c r="D8" s="47">
        <v>8</v>
      </c>
      <c r="E8" s="19">
        <f t="shared" si="1"/>
        <v>0</v>
      </c>
      <c r="F8" s="19">
        <v>3</v>
      </c>
      <c r="G8" s="21">
        <v>3</v>
      </c>
      <c r="H8" s="19">
        <f t="shared" si="2"/>
        <v>0</v>
      </c>
      <c r="I8" s="19">
        <v>0</v>
      </c>
      <c r="J8" s="19">
        <v>0</v>
      </c>
      <c r="K8" s="19">
        <f t="shared" si="3"/>
        <v>0</v>
      </c>
      <c r="L8" s="19">
        <f t="shared" si="4"/>
        <v>3</v>
      </c>
      <c r="M8" s="19">
        <f t="shared" si="5"/>
        <v>3</v>
      </c>
      <c r="N8" s="19">
        <f t="shared" si="6"/>
        <v>0</v>
      </c>
      <c r="O8" s="22"/>
      <c r="P8" s="22"/>
      <c r="Q8" s="25">
        <v>9</v>
      </c>
      <c r="R8" s="19">
        <v>2</v>
      </c>
      <c r="S8" s="19">
        <v>0</v>
      </c>
      <c r="T8" s="19">
        <v>1</v>
      </c>
      <c r="U8" s="19">
        <v>1</v>
      </c>
      <c r="V8" s="19">
        <v>3</v>
      </c>
      <c r="W8" s="19">
        <v>5</v>
      </c>
      <c r="X8" s="19">
        <v>1</v>
      </c>
      <c r="Y8" s="19">
        <v>6</v>
      </c>
      <c r="Z8" s="4">
        <v>2</v>
      </c>
      <c r="AA8" s="5"/>
    </row>
    <row r="9" spans="1:27" s="8" customFormat="1" ht="17" customHeight="1">
      <c r="A9" s="23" t="s">
        <v>32</v>
      </c>
      <c r="B9" s="19">
        <v>2</v>
      </c>
      <c r="C9" s="19">
        <v>4</v>
      </c>
      <c r="D9" s="47">
        <v>4</v>
      </c>
      <c r="E9" s="19">
        <f t="shared" si="1"/>
        <v>0</v>
      </c>
      <c r="F9" s="19">
        <v>2</v>
      </c>
      <c r="G9" s="21">
        <v>2</v>
      </c>
      <c r="H9" s="19">
        <f t="shared" si="2"/>
        <v>0</v>
      </c>
      <c r="I9" s="19">
        <v>0</v>
      </c>
      <c r="J9" s="19">
        <v>0</v>
      </c>
      <c r="K9" s="19">
        <f t="shared" si="3"/>
        <v>0</v>
      </c>
      <c r="L9" s="19">
        <f t="shared" si="4"/>
        <v>2</v>
      </c>
      <c r="M9" s="19">
        <f t="shared" si="5"/>
        <v>2</v>
      </c>
      <c r="N9" s="19">
        <f t="shared" si="6"/>
        <v>0</v>
      </c>
      <c r="O9" s="22"/>
      <c r="P9" s="22"/>
      <c r="Q9" s="25">
        <v>4</v>
      </c>
      <c r="R9" s="19">
        <v>1</v>
      </c>
      <c r="S9" s="19">
        <v>2</v>
      </c>
      <c r="T9" s="19">
        <v>0</v>
      </c>
      <c r="U9" s="19">
        <v>0</v>
      </c>
      <c r="V9" s="19">
        <v>2</v>
      </c>
      <c r="W9" s="19">
        <v>2</v>
      </c>
      <c r="X9" s="19">
        <v>0</v>
      </c>
      <c r="Y9" s="19">
        <v>3</v>
      </c>
      <c r="Z9" s="4">
        <v>1</v>
      </c>
      <c r="AA9" s="5"/>
    </row>
    <row r="10" spans="1:27" s="8" customFormat="1" ht="17" customHeight="1">
      <c r="A10" s="23" t="s">
        <v>33</v>
      </c>
      <c r="B10" s="19">
        <v>5</v>
      </c>
      <c r="C10" s="19">
        <v>1</v>
      </c>
      <c r="D10" s="47">
        <v>1</v>
      </c>
      <c r="E10" s="19">
        <f t="shared" si="1"/>
        <v>0</v>
      </c>
      <c r="F10" s="19">
        <v>5</v>
      </c>
      <c r="G10" s="21">
        <v>5</v>
      </c>
      <c r="H10" s="19">
        <f t="shared" si="2"/>
        <v>0</v>
      </c>
      <c r="I10" s="19">
        <v>1</v>
      </c>
      <c r="J10" s="19">
        <v>1</v>
      </c>
      <c r="K10" s="19">
        <f t="shared" si="3"/>
        <v>0</v>
      </c>
      <c r="L10" s="19">
        <f t="shared" si="4"/>
        <v>4</v>
      </c>
      <c r="M10" s="19">
        <f t="shared" si="5"/>
        <v>4</v>
      </c>
      <c r="N10" s="19">
        <f t="shared" si="6"/>
        <v>0</v>
      </c>
      <c r="O10" s="22"/>
      <c r="P10" s="22"/>
      <c r="Q10" s="25">
        <v>1</v>
      </c>
      <c r="R10" s="19">
        <v>1</v>
      </c>
      <c r="S10" s="19">
        <v>0</v>
      </c>
      <c r="T10" s="19">
        <v>0</v>
      </c>
      <c r="U10" s="19">
        <v>0</v>
      </c>
      <c r="V10" s="19">
        <v>1</v>
      </c>
      <c r="W10" s="19">
        <v>0</v>
      </c>
      <c r="X10" s="19">
        <v>0</v>
      </c>
      <c r="Y10" s="19">
        <v>1</v>
      </c>
      <c r="Z10" s="19">
        <v>0</v>
      </c>
      <c r="AA10" s="26"/>
    </row>
    <row r="11" spans="1:27" s="8" customFormat="1" ht="17" customHeight="1">
      <c r="A11" s="23" t="s">
        <v>34</v>
      </c>
      <c r="B11" s="19">
        <v>0</v>
      </c>
      <c r="C11" s="19">
        <v>0</v>
      </c>
      <c r="D11" s="47">
        <v>0</v>
      </c>
      <c r="E11" s="19">
        <f t="shared" si="1"/>
        <v>0</v>
      </c>
      <c r="F11" s="19">
        <v>0</v>
      </c>
      <c r="G11" s="21">
        <v>0</v>
      </c>
      <c r="H11" s="19">
        <f t="shared" si="2"/>
        <v>0</v>
      </c>
      <c r="I11" s="19">
        <v>0</v>
      </c>
      <c r="J11" s="19">
        <v>0</v>
      </c>
      <c r="K11" s="19">
        <f t="shared" si="3"/>
        <v>0</v>
      </c>
      <c r="L11" s="19">
        <f t="shared" si="4"/>
        <v>0</v>
      </c>
      <c r="M11" s="19">
        <f t="shared" si="5"/>
        <v>0</v>
      </c>
      <c r="N11" s="19">
        <f t="shared" si="6"/>
        <v>0</v>
      </c>
      <c r="O11" s="22"/>
      <c r="P11" s="22"/>
      <c r="Q11" s="25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26"/>
    </row>
    <row r="12" spans="1:27" s="8" customFormat="1" ht="17" customHeight="1">
      <c r="A12" s="23" t="s">
        <v>35</v>
      </c>
      <c r="B12" s="19">
        <v>0</v>
      </c>
      <c r="C12" s="19">
        <v>1</v>
      </c>
      <c r="D12" s="47">
        <v>1</v>
      </c>
      <c r="E12" s="19">
        <f t="shared" si="1"/>
        <v>0</v>
      </c>
      <c r="F12" s="19">
        <v>1</v>
      </c>
      <c r="G12" s="21">
        <v>1</v>
      </c>
      <c r="H12" s="19">
        <f t="shared" si="2"/>
        <v>0</v>
      </c>
      <c r="I12" s="19">
        <v>1</v>
      </c>
      <c r="J12" s="19">
        <v>1</v>
      </c>
      <c r="K12" s="19">
        <f t="shared" si="3"/>
        <v>0</v>
      </c>
      <c r="L12" s="19">
        <f t="shared" si="4"/>
        <v>0</v>
      </c>
      <c r="M12" s="19">
        <f t="shared" si="5"/>
        <v>0</v>
      </c>
      <c r="N12" s="19">
        <f t="shared" si="6"/>
        <v>0</v>
      </c>
      <c r="O12" s="22"/>
      <c r="P12" s="22"/>
      <c r="Q12" s="25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26"/>
    </row>
    <row r="13" spans="1:27" s="8" customFormat="1" ht="17" customHeight="1">
      <c r="A13" s="23" t="s">
        <v>36</v>
      </c>
      <c r="B13" s="19">
        <v>0</v>
      </c>
      <c r="C13" s="19">
        <v>3</v>
      </c>
      <c r="D13" s="47">
        <v>3</v>
      </c>
      <c r="E13" s="19">
        <f t="shared" si="1"/>
        <v>0</v>
      </c>
      <c r="F13" s="19">
        <v>1</v>
      </c>
      <c r="G13" s="21">
        <v>2</v>
      </c>
      <c r="H13" s="19">
        <f t="shared" si="2"/>
        <v>1</v>
      </c>
      <c r="I13" s="19">
        <v>1</v>
      </c>
      <c r="J13" s="19">
        <v>1</v>
      </c>
      <c r="K13" s="19">
        <f t="shared" si="3"/>
        <v>0</v>
      </c>
      <c r="L13" s="19">
        <f t="shared" si="4"/>
        <v>0</v>
      </c>
      <c r="M13" s="19">
        <f t="shared" si="5"/>
        <v>1</v>
      </c>
      <c r="N13" s="19">
        <f t="shared" si="6"/>
        <v>1</v>
      </c>
      <c r="O13" s="22"/>
      <c r="P13" s="22"/>
      <c r="Q13" s="25">
        <v>1</v>
      </c>
      <c r="R13" s="19">
        <v>1</v>
      </c>
      <c r="S13" s="19">
        <v>0</v>
      </c>
      <c r="T13" s="19">
        <v>0</v>
      </c>
      <c r="U13" s="19">
        <v>0</v>
      </c>
      <c r="V13" s="19">
        <v>1</v>
      </c>
      <c r="W13" s="19">
        <v>0</v>
      </c>
      <c r="X13" s="19">
        <v>0</v>
      </c>
      <c r="Y13" s="19">
        <v>1</v>
      </c>
      <c r="Z13" s="19">
        <v>0</v>
      </c>
      <c r="AA13" s="26"/>
    </row>
    <row r="14" spans="1:27" s="8" customFormat="1" ht="17" customHeight="1">
      <c r="A14" s="23" t="s">
        <v>37</v>
      </c>
      <c r="B14" s="19">
        <v>1</v>
      </c>
      <c r="C14" s="19">
        <v>2</v>
      </c>
      <c r="D14" s="47">
        <v>2</v>
      </c>
      <c r="E14" s="19">
        <f t="shared" si="1"/>
        <v>0</v>
      </c>
      <c r="F14" s="19">
        <v>1</v>
      </c>
      <c r="G14" s="21">
        <v>1</v>
      </c>
      <c r="H14" s="19">
        <f t="shared" si="2"/>
        <v>0</v>
      </c>
      <c r="I14" s="19">
        <v>0</v>
      </c>
      <c r="J14" s="19">
        <v>0</v>
      </c>
      <c r="K14" s="19">
        <f t="shared" si="3"/>
        <v>0</v>
      </c>
      <c r="L14" s="19">
        <f t="shared" si="4"/>
        <v>1</v>
      </c>
      <c r="M14" s="19">
        <f t="shared" si="5"/>
        <v>1</v>
      </c>
      <c r="N14" s="19">
        <f t="shared" si="6"/>
        <v>0</v>
      </c>
      <c r="O14" s="22"/>
      <c r="P14" s="22"/>
      <c r="Q14" s="25">
        <v>2</v>
      </c>
      <c r="R14" s="19">
        <v>1</v>
      </c>
      <c r="S14" s="19">
        <v>0</v>
      </c>
      <c r="T14" s="19">
        <v>0</v>
      </c>
      <c r="U14" s="19">
        <v>0</v>
      </c>
      <c r="V14" s="19">
        <v>1</v>
      </c>
      <c r="W14" s="19">
        <v>1</v>
      </c>
      <c r="X14" s="19">
        <v>0</v>
      </c>
      <c r="Y14" s="19">
        <v>1</v>
      </c>
      <c r="Z14" s="4">
        <v>1</v>
      </c>
      <c r="AA14" s="5"/>
    </row>
    <row r="15" spans="1:27" s="8" customFormat="1" ht="17" customHeight="1">
      <c r="A15" s="23" t="s">
        <v>38</v>
      </c>
      <c r="B15" s="19">
        <v>0</v>
      </c>
      <c r="C15" s="19">
        <v>2</v>
      </c>
      <c r="D15" s="47">
        <v>2</v>
      </c>
      <c r="E15" s="19">
        <f t="shared" si="1"/>
        <v>0</v>
      </c>
      <c r="F15" s="19">
        <v>0</v>
      </c>
      <c r="G15" s="21">
        <v>0</v>
      </c>
      <c r="H15" s="19">
        <f t="shared" si="2"/>
        <v>0</v>
      </c>
      <c r="I15" s="19">
        <v>0</v>
      </c>
      <c r="J15" s="19">
        <v>0</v>
      </c>
      <c r="K15" s="19">
        <f t="shared" si="3"/>
        <v>0</v>
      </c>
      <c r="L15" s="19">
        <f t="shared" si="4"/>
        <v>0</v>
      </c>
      <c r="M15" s="19">
        <f t="shared" si="5"/>
        <v>0</v>
      </c>
      <c r="N15" s="19">
        <f t="shared" si="6"/>
        <v>0</v>
      </c>
      <c r="O15" s="22"/>
      <c r="P15" s="22"/>
      <c r="Q15" s="25">
        <v>2</v>
      </c>
      <c r="R15" s="19">
        <v>0</v>
      </c>
      <c r="S15" s="19">
        <v>1</v>
      </c>
      <c r="T15" s="19">
        <v>0</v>
      </c>
      <c r="U15" s="19">
        <v>0</v>
      </c>
      <c r="V15" s="19">
        <v>1</v>
      </c>
      <c r="W15" s="19">
        <v>1</v>
      </c>
      <c r="X15" s="19">
        <v>0</v>
      </c>
      <c r="Y15" s="19">
        <v>1</v>
      </c>
      <c r="Z15" s="4">
        <v>1</v>
      </c>
      <c r="AA15" s="5"/>
    </row>
    <row r="16" spans="1:27" s="8" customFormat="1" ht="17" customHeight="1">
      <c r="A16" s="23" t="s">
        <v>39</v>
      </c>
      <c r="B16" s="19">
        <v>2</v>
      </c>
      <c r="C16" s="19">
        <v>1</v>
      </c>
      <c r="D16" s="47">
        <v>2</v>
      </c>
      <c r="E16" s="19">
        <f t="shared" si="1"/>
        <v>1</v>
      </c>
      <c r="F16" s="19">
        <v>2</v>
      </c>
      <c r="G16" s="21">
        <v>2</v>
      </c>
      <c r="H16" s="19">
        <f t="shared" si="2"/>
        <v>0</v>
      </c>
      <c r="I16" s="19">
        <v>0</v>
      </c>
      <c r="J16" s="19">
        <v>0</v>
      </c>
      <c r="K16" s="19">
        <f t="shared" si="3"/>
        <v>0</v>
      </c>
      <c r="L16" s="19">
        <f t="shared" si="4"/>
        <v>2</v>
      </c>
      <c r="M16" s="19">
        <f t="shared" si="5"/>
        <v>2</v>
      </c>
      <c r="N16" s="19">
        <f t="shared" si="6"/>
        <v>0</v>
      </c>
      <c r="O16" s="22"/>
      <c r="P16" s="22"/>
      <c r="Q16" s="25">
        <v>2</v>
      </c>
      <c r="R16" s="19">
        <v>0</v>
      </c>
      <c r="S16" s="19">
        <v>0</v>
      </c>
      <c r="T16" s="19">
        <v>2</v>
      </c>
      <c r="U16" s="19">
        <v>0</v>
      </c>
      <c r="V16" s="19">
        <v>0</v>
      </c>
      <c r="W16" s="19">
        <v>2</v>
      </c>
      <c r="X16" s="19">
        <v>0</v>
      </c>
      <c r="Y16" s="19">
        <v>1</v>
      </c>
      <c r="Z16" s="19">
        <v>1</v>
      </c>
      <c r="AA16" s="26"/>
    </row>
    <row r="17" spans="1:45" s="8" customFormat="1" ht="17" customHeight="1">
      <c r="A17" s="23" t="s">
        <v>40</v>
      </c>
      <c r="B17" s="19">
        <v>1</v>
      </c>
      <c r="C17" s="19">
        <v>2</v>
      </c>
      <c r="D17" s="47">
        <v>2</v>
      </c>
      <c r="E17" s="19">
        <f t="shared" si="1"/>
        <v>0</v>
      </c>
      <c r="F17" s="19">
        <v>0</v>
      </c>
      <c r="G17" s="21">
        <v>0</v>
      </c>
      <c r="H17" s="19">
        <f t="shared" si="2"/>
        <v>0</v>
      </c>
      <c r="I17" s="19">
        <v>0</v>
      </c>
      <c r="J17" s="19">
        <v>0</v>
      </c>
      <c r="K17" s="19">
        <f t="shared" si="3"/>
        <v>0</v>
      </c>
      <c r="L17" s="19">
        <f t="shared" si="4"/>
        <v>0</v>
      </c>
      <c r="M17" s="19">
        <f t="shared" si="5"/>
        <v>0</v>
      </c>
      <c r="N17" s="19">
        <f t="shared" si="6"/>
        <v>0</v>
      </c>
      <c r="O17" s="22"/>
      <c r="P17" s="22"/>
      <c r="Q17" s="25">
        <v>3</v>
      </c>
      <c r="R17" s="19">
        <v>2</v>
      </c>
      <c r="S17" s="19">
        <v>0</v>
      </c>
      <c r="T17" s="19">
        <v>0</v>
      </c>
      <c r="U17" s="19">
        <v>1</v>
      </c>
      <c r="V17" s="19">
        <v>2</v>
      </c>
      <c r="W17" s="19">
        <v>0</v>
      </c>
      <c r="X17" s="19">
        <v>0</v>
      </c>
      <c r="Y17" s="19">
        <v>3</v>
      </c>
      <c r="Z17" s="19">
        <v>0</v>
      </c>
      <c r="AA17" s="26"/>
    </row>
    <row r="18" spans="1:45" s="8" customFormat="1" ht="17" customHeight="1">
      <c r="A18" s="23" t="s">
        <v>41</v>
      </c>
      <c r="B18" s="19">
        <v>1</v>
      </c>
      <c r="C18" s="19">
        <v>2</v>
      </c>
      <c r="D18" s="47">
        <v>2</v>
      </c>
      <c r="E18" s="19">
        <f t="shared" si="1"/>
        <v>0</v>
      </c>
      <c r="F18" s="19">
        <v>1</v>
      </c>
      <c r="G18" s="21">
        <v>1</v>
      </c>
      <c r="H18" s="19">
        <f t="shared" si="2"/>
        <v>0</v>
      </c>
      <c r="I18" s="19">
        <v>0</v>
      </c>
      <c r="J18" s="19">
        <v>0</v>
      </c>
      <c r="K18" s="19">
        <f t="shared" si="3"/>
        <v>0</v>
      </c>
      <c r="L18" s="19">
        <f t="shared" si="4"/>
        <v>1</v>
      </c>
      <c r="M18" s="19">
        <f t="shared" si="5"/>
        <v>1</v>
      </c>
      <c r="N18" s="19">
        <f t="shared" si="6"/>
        <v>0</v>
      </c>
      <c r="O18" s="22"/>
      <c r="P18" s="22"/>
      <c r="Q18" s="25">
        <v>2</v>
      </c>
      <c r="R18" s="19">
        <v>2</v>
      </c>
      <c r="S18" s="19">
        <v>0</v>
      </c>
      <c r="T18" s="19">
        <v>0</v>
      </c>
      <c r="U18" s="19">
        <v>0</v>
      </c>
      <c r="V18" s="19">
        <v>1</v>
      </c>
      <c r="W18" s="19">
        <v>1</v>
      </c>
      <c r="X18" s="19">
        <v>0</v>
      </c>
      <c r="Y18" s="19">
        <v>2</v>
      </c>
      <c r="Z18" s="19">
        <v>0</v>
      </c>
      <c r="AA18" s="26"/>
    </row>
    <row r="19" spans="1:45" s="8" customFormat="1" ht="17" customHeight="1">
      <c r="A19" s="23" t="s">
        <v>42</v>
      </c>
      <c r="B19" s="19">
        <v>1</v>
      </c>
      <c r="C19" s="19">
        <v>2</v>
      </c>
      <c r="D19" s="47">
        <v>2</v>
      </c>
      <c r="E19" s="19">
        <f t="shared" si="1"/>
        <v>0</v>
      </c>
      <c r="F19" s="19">
        <v>1</v>
      </c>
      <c r="G19" s="21">
        <v>1</v>
      </c>
      <c r="H19" s="19">
        <f t="shared" si="2"/>
        <v>0</v>
      </c>
      <c r="I19" s="19">
        <v>0</v>
      </c>
      <c r="J19" s="19">
        <v>0</v>
      </c>
      <c r="K19" s="19">
        <f t="shared" si="3"/>
        <v>0</v>
      </c>
      <c r="L19" s="19">
        <f t="shared" si="4"/>
        <v>1</v>
      </c>
      <c r="M19" s="19">
        <f t="shared" si="5"/>
        <v>1</v>
      </c>
      <c r="N19" s="19">
        <f t="shared" si="6"/>
        <v>0</v>
      </c>
      <c r="O19" s="22"/>
      <c r="P19" s="22"/>
      <c r="Q19" s="25">
        <v>2</v>
      </c>
      <c r="R19" s="19">
        <v>1</v>
      </c>
      <c r="S19" s="19">
        <v>0</v>
      </c>
      <c r="T19" s="19">
        <v>0</v>
      </c>
      <c r="U19" s="19">
        <v>1</v>
      </c>
      <c r="V19" s="19">
        <v>1</v>
      </c>
      <c r="W19" s="19">
        <v>0</v>
      </c>
      <c r="X19" s="19">
        <v>0</v>
      </c>
      <c r="Y19" s="19">
        <v>1</v>
      </c>
      <c r="Z19" s="4">
        <v>1</v>
      </c>
      <c r="AA19" s="5"/>
    </row>
    <row r="20" spans="1:45" s="8" customFormat="1" ht="17" customHeight="1">
      <c r="A20" s="23" t="s">
        <v>43</v>
      </c>
      <c r="B20" s="19">
        <v>1</v>
      </c>
      <c r="C20" s="19">
        <v>3</v>
      </c>
      <c r="D20" s="47">
        <v>5</v>
      </c>
      <c r="E20" s="19">
        <f t="shared" si="1"/>
        <v>2</v>
      </c>
      <c r="F20" s="19">
        <v>4</v>
      </c>
      <c r="G20" s="21">
        <v>4</v>
      </c>
      <c r="H20" s="19">
        <f t="shared" si="2"/>
        <v>0</v>
      </c>
      <c r="I20" s="19">
        <v>3</v>
      </c>
      <c r="J20" s="19">
        <v>3</v>
      </c>
      <c r="K20" s="19">
        <f t="shared" si="3"/>
        <v>0</v>
      </c>
      <c r="L20" s="19">
        <f t="shared" si="4"/>
        <v>1</v>
      </c>
      <c r="M20" s="19">
        <f t="shared" si="5"/>
        <v>1</v>
      </c>
      <c r="N20" s="19">
        <f t="shared" si="6"/>
        <v>0</v>
      </c>
      <c r="O20" s="22"/>
      <c r="P20" s="22"/>
      <c r="Q20" s="25">
        <v>2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2</v>
      </c>
      <c r="X20" s="19">
        <v>0</v>
      </c>
      <c r="Y20" s="19">
        <v>2</v>
      </c>
      <c r="Z20" s="19">
        <v>0</v>
      </c>
      <c r="AA20" s="26"/>
    </row>
    <row r="21" spans="1:45" s="8" customFormat="1" ht="17" customHeight="1">
      <c r="A21" s="23" t="s">
        <v>44</v>
      </c>
      <c r="B21" s="19">
        <v>2</v>
      </c>
      <c r="C21" s="19">
        <v>1</v>
      </c>
      <c r="D21" s="47">
        <v>1</v>
      </c>
      <c r="E21" s="19">
        <f t="shared" si="1"/>
        <v>0</v>
      </c>
      <c r="F21" s="19">
        <v>2</v>
      </c>
      <c r="G21" s="21">
        <v>2</v>
      </c>
      <c r="H21" s="19">
        <f t="shared" si="2"/>
        <v>0</v>
      </c>
      <c r="I21" s="19">
        <v>1</v>
      </c>
      <c r="J21" s="19">
        <v>1</v>
      </c>
      <c r="K21" s="19">
        <f t="shared" si="3"/>
        <v>0</v>
      </c>
      <c r="L21" s="19">
        <f t="shared" si="4"/>
        <v>1</v>
      </c>
      <c r="M21" s="19">
        <f t="shared" si="5"/>
        <v>1</v>
      </c>
      <c r="N21" s="19">
        <f t="shared" si="6"/>
        <v>0</v>
      </c>
      <c r="O21" s="22"/>
      <c r="P21" s="22"/>
      <c r="Q21" s="25">
        <v>1</v>
      </c>
      <c r="R21" s="19">
        <v>0</v>
      </c>
      <c r="S21" s="19">
        <v>0</v>
      </c>
      <c r="T21" s="19">
        <v>0</v>
      </c>
      <c r="U21" s="19">
        <v>0</v>
      </c>
      <c r="V21" s="19">
        <v>1</v>
      </c>
      <c r="W21" s="19">
        <v>0</v>
      </c>
      <c r="X21" s="19">
        <v>0</v>
      </c>
      <c r="Y21" s="19">
        <v>1</v>
      </c>
      <c r="Z21" s="19">
        <v>0</v>
      </c>
      <c r="AA21" s="26"/>
    </row>
    <row r="22" spans="1:45" s="8" customFormat="1" ht="17" customHeight="1">
      <c r="A22" s="18" t="s">
        <v>45</v>
      </c>
      <c r="B22" s="19">
        <v>3</v>
      </c>
      <c r="C22" s="19">
        <v>4</v>
      </c>
      <c r="D22" s="47">
        <v>4</v>
      </c>
      <c r="E22" s="19">
        <f t="shared" si="1"/>
        <v>0</v>
      </c>
      <c r="F22" s="19">
        <v>2</v>
      </c>
      <c r="G22" s="21">
        <v>2</v>
      </c>
      <c r="H22" s="19">
        <f t="shared" si="2"/>
        <v>0</v>
      </c>
      <c r="I22" s="4">
        <v>0</v>
      </c>
      <c r="J22" s="4">
        <v>0</v>
      </c>
      <c r="K22" s="19">
        <f t="shared" si="3"/>
        <v>0</v>
      </c>
      <c r="L22" s="19">
        <f t="shared" si="4"/>
        <v>2</v>
      </c>
      <c r="M22" s="19">
        <f t="shared" si="5"/>
        <v>2</v>
      </c>
      <c r="N22" s="19">
        <f t="shared" si="6"/>
        <v>0</v>
      </c>
      <c r="O22" s="22"/>
      <c r="P22" s="22"/>
      <c r="Q22" s="25">
        <v>5</v>
      </c>
      <c r="R22" s="19">
        <v>4</v>
      </c>
      <c r="S22" s="19">
        <v>0</v>
      </c>
      <c r="T22" s="19">
        <v>0</v>
      </c>
      <c r="U22" s="19">
        <v>1</v>
      </c>
      <c r="V22" s="4">
        <v>1</v>
      </c>
      <c r="W22" s="19">
        <v>3</v>
      </c>
      <c r="X22" s="19">
        <v>0</v>
      </c>
      <c r="Y22" s="19">
        <v>3</v>
      </c>
      <c r="Z22" s="4">
        <v>2</v>
      </c>
      <c r="AA22" s="5"/>
    </row>
    <row r="23" spans="1:45" s="8" customFormat="1" ht="17" customHeight="1">
      <c r="A23" s="23" t="s">
        <v>46</v>
      </c>
      <c r="B23" s="19">
        <v>3</v>
      </c>
      <c r="C23" s="19">
        <v>6</v>
      </c>
      <c r="D23" s="47">
        <v>6</v>
      </c>
      <c r="E23" s="19">
        <f t="shared" si="1"/>
        <v>0</v>
      </c>
      <c r="F23" s="19">
        <v>4</v>
      </c>
      <c r="G23" s="21">
        <v>5</v>
      </c>
      <c r="H23" s="19">
        <f t="shared" si="2"/>
        <v>1</v>
      </c>
      <c r="I23" s="19">
        <v>0</v>
      </c>
      <c r="J23" s="19">
        <v>1</v>
      </c>
      <c r="K23" s="19">
        <f t="shared" si="3"/>
        <v>1</v>
      </c>
      <c r="L23" s="19">
        <f t="shared" si="4"/>
        <v>4</v>
      </c>
      <c r="M23" s="19">
        <f t="shared" si="5"/>
        <v>4</v>
      </c>
      <c r="N23" s="19">
        <f t="shared" si="6"/>
        <v>0</v>
      </c>
      <c r="O23" s="22"/>
      <c r="P23" s="22"/>
      <c r="Q23" s="25">
        <v>4</v>
      </c>
      <c r="R23" s="19">
        <v>1</v>
      </c>
      <c r="S23" s="19">
        <v>0</v>
      </c>
      <c r="T23" s="19">
        <v>0</v>
      </c>
      <c r="U23" s="19">
        <v>0</v>
      </c>
      <c r="V23" s="19">
        <v>3</v>
      </c>
      <c r="W23" s="19">
        <v>1</v>
      </c>
      <c r="X23" s="19">
        <v>0</v>
      </c>
      <c r="Y23" s="19">
        <v>2</v>
      </c>
      <c r="Z23" s="4">
        <v>2</v>
      </c>
      <c r="AA23" s="5"/>
    </row>
    <row r="24" spans="1:45" s="8" customFormat="1" ht="17" customHeight="1">
      <c r="A24" s="23" t="s">
        <v>47</v>
      </c>
      <c r="B24" s="19">
        <v>2</v>
      </c>
      <c r="C24" s="19">
        <v>1</v>
      </c>
      <c r="D24" s="47">
        <v>1</v>
      </c>
      <c r="E24" s="19">
        <f t="shared" si="1"/>
        <v>0</v>
      </c>
      <c r="F24" s="19">
        <v>3</v>
      </c>
      <c r="G24" s="21">
        <v>3</v>
      </c>
      <c r="H24" s="19">
        <f t="shared" si="2"/>
        <v>0</v>
      </c>
      <c r="I24" s="19">
        <v>1</v>
      </c>
      <c r="J24" s="19">
        <v>1</v>
      </c>
      <c r="K24" s="19">
        <f t="shared" si="3"/>
        <v>0</v>
      </c>
      <c r="L24" s="19">
        <f t="shared" si="4"/>
        <v>2</v>
      </c>
      <c r="M24" s="19">
        <f t="shared" si="5"/>
        <v>2</v>
      </c>
      <c r="N24" s="19">
        <f t="shared" si="6"/>
        <v>0</v>
      </c>
      <c r="O24" s="22"/>
      <c r="P24" s="22"/>
      <c r="Q24" s="25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4">
        <v>0</v>
      </c>
      <c r="AA24" s="5"/>
    </row>
    <row r="25" spans="1:45" s="8" customFormat="1" ht="14">
      <c r="A25" s="23" t="s">
        <v>48</v>
      </c>
      <c r="B25" s="19">
        <v>9</v>
      </c>
      <c r="C25" s="19">
        <v>19</v>
      </c>
      <c r="D25" s="47">
        <v>20</v>
      </c>
      <c r="E25" s="19">
        <f t="shared" si="1"/>
        <v>1</v>
      </c>
      <c r="F25" s="19">
        <v>17</v>
      </c>
      <c r="G25" s="21">
        <v>17</v>
      </c>
      <c r="H25" s="19">
        <f t="shared" si="2"/>
        <v>0</v>
      </c>
      <c r="I25" s="19">
        <v>7</v>
      </c>
      <c r="J25" s="19">
        <v>7</v>
      </c>
      <c r="K25" s="19">
        <f t="shared" si="3"/>
        <v>0</v>
      </c>
      <c r="L25" s="19">
        <f t="shared" si="4"/>
        <v>10</v>
      </c>
      <c r="M25" s="19">
        <f t="shared" si="5"/>
        <v>10</v>
      </c>
      <c r="N25" s="19">
        <f t="shared" si="6"/>
        <v>0</v>
      </c>
      <c r="O25" s="22"/>
      <c r="P25" s="22"/>
      <c r="Q25" s="25">
        <v>12</v>
      </c>
      <c r="R25" s="19">
        <v>5</v>
      </c>
      <c r="S25" s="19">
        <v>1</v>
      </c>
      <c r="T25" s="19">
        <v>0</v>
      </c>
      <c r="U25" s="19">
        <v>2</v>
      </c>
      <c r="V25" s="19">
        <v>5</v>
      </c>
      <c r="W25" s="19">
        <v>5</v>
      </c>
      <c r="X25" s="19">
        <v>2</v>
      </c>
      <c r="Y25" s="19">
        <v>10</v>
      </c>
      <c r="Z25" s="19">
        <v>0</v>
      </c>
      <c r="AA25" s="26"/>
      <c r="AB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</row>
    <row r="26" spans="1:45" s="8" customFormat="1" ht="14">
      <c r="A26" s="23" t="s">
        <v>49</v>
      </c>
      <c r="B26" s="19">
        <v>3</v>
      </c>
      <c r="C26" s="19">
        <v>8</v>
      </c>
      <c r="D26" s="47">
        <v>9</v>
      </c>
      <c r="E26" s="19">
        <f t="shared" si="1"/>
        <v>1</v>
      </c>
      <c r="F26" s="19">
        <v>5</v>
      </c>
      <c r="G26" s="21">
        <v>6</v>
      </c>
      <c r="H26" s="19">
        <f t="shared" si="2"/>
        <v>1</v>
      </c>
      <c r="I26" s="19">
        <v>3</v>
      </c>
      <c r="J26" s="19">
        <v>3</v>
      </c>
      <c r="K26" s="19">
        <f t="shared" si="3"/>
        <v>0</v>
      </c>
      <c r="L26" s="19">
        <f t="shared" si="4"/>
        <v>2</v>
      </c>
      <c r="M26" s="19">
        <f t="shared" si="5"/>
        <v>3</v>
      </c>
      <c r="N26" s="19">
        <f t="shared" si="6"/>
        <v>1</v>
      </c>
      <c r="O26" s="22"/>
      <c r="P26" s="22"/>
      <c r="Q26" s="25">
        <v>6</v>
      </c>
      <c r="R26" s="19">
        <v>2</v>
      </c>
      <c r="S26" s="19">
        <v>0</v>
      </c>
      <c r="T26" s="19">
        <v>1</v>
      </c>
      <c r="U26" s="19">
        <v>1</v>
      </c>
      <c r="V26" s="19">
        <v>0</v>
      </c>
      <c r="W26" s="19">
        <v>5</v>
      </c>
      <c r="X26" s="19">
        <v>0</v>
      </c>
      <c r="Y26" s="19">
        <v>4</v>
      </c>
      <c r="Z26" s="19">
        <v>2</v>
      </c>
      <c r="AA26" s="26"/>
      <c r="AB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</row>
    <row r="27" spans="1:45" s="8" customFormat="1" ht="15">
      <c r="A27" s="29" t="s">
        <v>50</v>
      </c>
      <c r="B27" s="19">
        <v>3</v>
      </c>
      <c r="C27" s="19">
        <v>8</v>
      </c>
      <c r="D27" s="47">
        <v>9</v>
      </c>
      <c r="E27" s="19">
        <f t="shared" si="1"/>
        <v>1</v>
      </c>
      <c r="F27" s="19">
        <v>4</v>
      </c>
      <c r="G27" s="21">
        <v>4</v>
      </c>
      <c r="H27" s="19">
        <f t="shared" si="2"/>
        <v>0</v>
      </c>
      <c r="I27" s="19">
        <v>0</v>
      </c>
      <c r="J27" s="19">
        <v>0</v>
      </c>
      <c r="K27" s="19">
        <f t="shared" si="3"/>
        <v>0</v>
      </c>
      <c r="L27" s="19">
        <f t="shared" si="4"/>
        <v>4</v>
      </c>
      <c r="M27" s="19">
        <f t="shared" si="5"/>
        <v>4</v>
      </c>
      <c r="N27" s="19">
        <f t="shared" si="6"/>
        <v>0</v>
      </c>
      <c r="O27" s="22"/>
      <c r="P27" s="22"/>
      <c r="Q27" s="25">
        <v>8</v>
      </c>
      <c r="R27" s="19">
        <v>4</v>
      </c>
      <c r="S27" s="19">
        <v>1</v>
      </c>
      <c r="T27" s="19">
        <v>1</v>
      </c>
      <c r="U27" s="19">
        <v>1</v>
      </c>
      <c r="V27" s="19">
        <v>1</v>
      </c>
      <c r="W27" s="19">
        <v>6</v>
      </c>
      <c r="X27" s="19">
        <v>2</v>
      </c>
      <c r="Y27" s="19">
        <v>2</v>
      </c>
      <c r="Z27" s="19">
        <v>4</v>
      </c>
      <c r="AA27" s="26"/>
      <c r="AB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</row>
    <row r="28" spans="1:45" ht="20">
      <c r="A28" s="30"/>
      <c r="B28" s="31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45" ht="20">
      <c r="A29" s="30"/>
      <c r="B29" s="31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45" ht="20">
      <c r="A30" s="30"/>
      <c r="B30" s="31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45" ht="20">
      <c r="A31" s="33"/>
      <c r="B31" s="34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45" ht="20">
      <c r="A32" s="30"/>
      <c r="B32" s="31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1:27" ht="20">
      <c r="A33" s="30"/>
      <c r="B33" s="31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1:27" ht="20">
      <c r="A34" s="30"/>
      <c r="B34" s="31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1:27" ht="20">
      <c r="A35" s="30"/>
      <c r="B35" s="31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1:27" ht="20">
      <c r="A36" s="30"/>
      <c r="B36" s="31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1:27" ht="20">
      <c r="A37" s="30"/>
      <c r="B37" s="31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</sheetData>
  <mergeCells count="15">
    <mergeCell ref="S2:S3"/>
    <mergeCell ref="T2:T3"/>
    <mergeCell ref="U2:W2"/>
    <mergeCell ref="X2:Z2"/>
    <mergeCell ref="AA2:AA3"/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</mergeCells>
  <pageMargins left="0.59015748031496063" right="0.19645669291338583" top="0.78740157480314954" bottom="0.59015748031496051" header="0.39370078740157477" footer="0.19645669291338583"/>
  <pageSetup paperSize="0" scale="60"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2412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состоят на учете на 10.06.26</vt:lpstr>
      <vt:lpstr>состоят на учете на 28.05.26</vt:lpstr>
      <vt:lpstr>состоят на учете на 21.05.26</vt:lpstr>
      <vt:lpstr>состоят на учете на 14.05.26</vt:lpstr>
      <vt:lpstr>состоят на учете на 07.05.26</vt:lpstr>
      <vt:lpstr>состоят на учете на 30.4.26</vt:lpstr>
      <vt:lpstr>состоят на учете на 23.04.26</vt:lpstr>
      <vt:lpstr>состоят на учете на 14.04.26</vt:lpstr>
      <vt:lpstr>'состоят на учете на 07.05.26'!Print_Area</vt:lpstr>
      <vt:lpstr>'состоят на учете на 10.06.26'!Print_Area</vt:lpstr>
      <vt:lpstr>'состоят на учете на 14.04.26'!Print_Area</vt:lpstr>
      <vt:lpstr>'состоят на учете на 14.05.26'!Print_Area</vt:lpstr>
      <vt:lpstr>'состоят на учете на 21.05.26'!Print_Area</vt:lpstr>
      <vt:lpstr>'состоят на учете на 23.04.26'!Print_Area</vt:lpstr>
      <vt:lpstr>'состоят на учете на 28.05.26'!Print_Area</vt:lpstr>
      <vt:lpstr>'состоят на учете на 30.4.26'!Print_Area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Artyom Skomorokhov</cp:lastModifiedBy>
  <cp:revision>390</cp:revision>
  <dcterms:created xsi:type="dcterms:W3CDTF">2026-06-10T14:40:54Z</dcterms:created>
  <dcterms:modified xsi:type="dcterms:W3CDTF">2026-06-10T14:40:54Z</dcterms:modified>
</cp:coreProperties>
</file>