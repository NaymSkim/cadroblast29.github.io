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ymskim/WebstormProjects/Mom/xlsx/"/>
    </mc:Choice>
  </mc:AlternateContent>
  <xr:revisionPtr revIDLastSave="0" documentId="8_{ACF4F7D3-9837-1C44-A04A-48F7EA72AA34}" xr6:coauthVersionLast="47" xr6:coauthVersionMax="47" xr10:uidLastSave="{00000000-0000-0000-0000-000000000000}"/>
  <bookViews>
    <workbookView xWindow="0" yWindow="780" windowWidth="35100" windowHeight="22600" xr2:uid="{FAFCEF82-692D-E347-92FC-95B8B5D006C1}"/>
  </bookViews>
  <sheets>
    <sheet name="состоят на учете на 23.06.26" sheetId="1" r:id="rId1"/>
    <sheet name="состоят на учете на 10.06.26" sheetId="2" r:id="rId2"/>
    <sheet name="состоят на учете на 28.05.26" sheetId="3" r:id="rId3"/>
    <sheet name="состоят на учете на 21.05.26" sheetId="4" r:id="rId4"/>
    <sheet name="состоят на учете на 14.05.26" sheetId="5" r:id="rId5"/>
    <sheet name="состоят на учете на 07.05.26" sheetId="6" r:id="rId6"/>
    <sheet name="состоят на учете на 30.4.26" sheetId="7" r:id="rId7"/>
    <sheet name="состоят на учете на 23.04.26" sheetId="8" r:id="rId8"/>
    <sheet name="состоят на учете на 14.04.26" sheetId="9" r:id="rId9"/>
  </sheets>
  <definedNames>
    <definedName name="_xlnm.Print_Area" localSheetId="5">'состоят на учете на 07.05.26'!$A$1:$AA$27</definedName>
    <definedName name="_xlnm.Print_Area" localSheetId="1">'состоят на учете на 10.06.26'!$A$1:$AA$27</definedName>
    <definedName name="_xlnm.Print_Area" localSheetId="8">'состоят на учете на 14.04.26'!$A$1:$AA$27</definedName>
    <definedName name="_xlnm.Print_Area" localSheetId="4">'состоят на учете на 14.05.26'!$A$1:$AA$27</definedName>
    <definedName name="_xlnm.Print_Area" localSheetId="3">'состоят на учете на 21.05.26'!$A$1:$AA$27</definedName>
    <definedName name="_xlnm.Print_Area" localSheetId="7">'состоят на учете на 23.04.26'!$A$1:$AA$27</definedName>
    <definedName name="_xlnm.Print_Area" localSheetId="0">'состоят на учете на 23.06.26'!$A$1:$AA$27</definedName>
    <definedName name="_xlnm.Print_Area" localSheetId="2">'состоят на учете на 28.05.26'!$A$1:$AA$27</definedName>
    <definedName name="_xlnm.Print_Area" localSheetId="6">'состоят на учете на 30.4.26'!$A$1:$AA$27</definedName>
  </definedNames>
  <calcPr calcId="191029" fullCalcOnLoad="1" refMode="R1C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9" l="1"/>
  <c r="N27" i="9" s="1"/>
  <c r="L27" i="9"/>
  <c r="K27" i="9"/>
  <c r="H27" i="9"/>
  <c r="E27" i="9"/>
  <c r="M26" i="9"/>
  <c r="N26" i="9" s="1"/>
  <c r="L26" i="9"/>
  <c r="K26" i="9"/>
  <c r="H26" i="9"/>
  <c r="E26" i="9"/>
  <c r="M25" i="9"/>
  <c r="N25" i="9" s="1"/>
  <c r="L25" i="9"/>
  <c r="K25" i="9"/>
  <c r="H25" i="9"/>
  <c r="E25" i="9"/>
  <c r="M24" i="9"/>
  <c r="N24" i="9" s="1"/>
  <c r="L24" i="9"/>
  <c r="K24" i="9"/>
  <c r="H24" i="9"/>
  <c r="E24" i="9"/>
  <c r="M23" i="9"/>
  <c r="N23" i="9" s="1"/>
  <c r="L23" i="9"/>
  <c r="K23" i="9"/>
  <c r="H23" i="9"/>
  <c r="E23" i="9"/>
  <c r="M22" i="9"/>
  <c r="N22" i="9" s="1"/>
  <c r="L22" i="9"/>
  <c r="K22" i="9"/>
  <c r="H22" i="9"/>
  <c r="E22" i="9"/>
  <c r="M21" i="9"/>
  <c r="N21" i="9" s="1"/>
  <c r="L21" i="9"/>
  <c r="K21" i="9"/>
  <c r="H21" i="9"/>
  <c r="E21" i="9"/>
  <c r="M20" i="9"/>
  <c r="N20" i="9" s="1"/>
  <c r="L20" i="9"/>
  <c r="K20" i="9"/>
  <c r="H20" i="9"/>
  <c r="E20" i="9"/>
  <c r="M19" i="9"/>
  <c r="N19" i="9" s="1"/>
  <c r="L19" i="9"/>
  <c r="K19" i="9"/>
  <c r="H19" i="9"/>
  <c r="E19" i="9"/>
  <c r="M18" i="9"/>
  <c r="N18" i="9" s="1"/>
  <c r="L18" i="9"/>
  <c r="K18" i="9"/>
  <c r="H18" i="9"/>
  <c r="E18" i="9"/>
  <c r="M17" i="9"/>
  <c r="N17" i="9" s="1"/>
  <c r="L17" i="9"/>
  <c r="K17" i="9"/>
  <c r="H17" i="9"/>
  <c r="E17" i="9"/>
  <c r="M16" i="9"/>
  <c r="N16" i="9" s="1"/>
  <c r="L16" i="9"/>
  <c r="K16" i="9"/>
  <c r="H16" i="9"/>
  <c r="E16" i="9"/>
  <c r="M15" i="9"/>
  <c r="N15" i="9" s="1"/>
  <c r="L15" i="9"/>
  <c r="K15" i="9"/>
  <c r="H15" i="9"/>
  <c r="E15" i="9"/>
  <c r="M14" i="9"/>
  <c r="N14" i="9" s="1"/>
  <c r="L14" i="9"/>
  <c r="K14" i="9"/>
  <c r="H14" i="9"/>
  <c r="E14" i="9"/>
  <c r="M13" i="9"/>
  <c r="N13" i="9" s="1"/>
  <c r="L13" i="9"/>
  <c r="K13" i="9"/>
  <c r="H13" i="9"/>
  <c r="E13" i="9"/>
  <c r="M12" i="9"/>
  <c r="N12" i="9" s="1"/>
  <c r="L12" i="9"/>
  <c r="K12" i="9"/>
  <c r="H12" i="9"/>
  <c r="E12" i="9"/>
  <c r="M11" i="9"/>
  <c r="N11" i="9" s="1"/>
  <c r="L11" i="9"/>
  <c r="K11" i="9"/>
  <c r="H11" i="9"/>
  <c r="E11" i="9"/>
  <c r="M10" i="9"/>
  <c r="N10" i="9" s="1"/>
  <c r="L10" i="9"/>
  <c r="K10" i="9"/>
  <c r="H10" i="9"/>
  <c r="E10" i="9"/>
  <c r="M9" i="9"/>
  <c r="N9" i="9" s="1"/>
  <c r="L9" i="9"/>
  <c r="K9" i="9"/>
  <c r="H9" i="9"/>
  <c r="E9" i="9"/>
  <c r="M8" i="9"/>
  <c r="N8" i="9" s="1"/>
  <c r="L8" i="9"/>
  <c r="K8" i="9"/>
  <c r="H8" i="9"/>
  <c r="E8" i="9"/>
  <c r="M7" i="9"/>
  <c r="N7" i="9" s="1"/>
  <c r="L7" i="9"/>
  <c r="K7" i="9"/>
  <c r="H7" i="9"/>
  <c r="H4" i="9" s="1"/>
  <c r="E7" i="9"/>
  <c r="E4" i="9" s="1"/>
  <c r="M6" i="9"/>
  <c r="L6" i="9"/>
  <c r="L4" i="9" s="1"/>
  <c r="K6" i="9"/>
  <c r="K4" i="9" s="1"/>
  <c r="H6" i="9"/>
  <c r="E6" i="9"/>
  <c r="Z4" i="9"/>
  <c r="Y4" i="9"/>
  <c r="X4" i="9"/>
  <c r="W4" i="9"/>
  <c r="V4" i="9"/>
  <c r="U4" i="9"/>
  <c r="T4" i="9"/>
  <c r="S4" i="9"/>
  <c r="R4" i="9"/>
  <c r="Q4" i="9"/>
  <c r="P4" i="9"/>
  <c r="O4" i="9"/>
  <c r="J4" i="9"/>
  <c r="I4" i="9"/>
  <c r="G4" i="9"/>
  <c r="F4" i="9"/>
  <c r="D4" i="9"/>
  <c r="C4" i="9"/>
  <c r="B4" i="9"/>
  <c r="W27" i="8"/>
  <c r="M27" i="8"/>
  <c r="N27" i="8" s="1"/>
  <c r="K27" i="8"/>
  <c r="H27" i="8"/>
  <c r="E27" i="8"/>
  <c r="W26" i="8"/>
  <c r="M26" i="8"/>
  <c r="N26" i="8" s="1"/>
  <c r="K26" i="8"/>
  <c r="H26" i="8"/>
  <c r="E26" i="8"/>
  <c r="W25" i="8"/>
  <c r="M25" i="8"/>
  <c r="N25" i="8" s="1"/>
  <c r="K25" i="8"/>
  <c r="H25" i="8"/>
  <c r="E25" i="8"/>
  <c r="W24" i="8"/>
  <c r="M24" i="8"/>
  <c r="N24" i="8" s="1"/>
  <c r="K24" i="8"/>
  <c r="H24" i="8"/>
  <c r="E24" i="8"/>
  <c r="W23" i="8"/>
  <c r="M23" i="8"/>
  <c r="N23" i="8" s="1"/>
  <c r="K23" i="8"/>
  <c r="H23" i="8"/>
  <c r="E23" i="8"/>
  <c r="W22" i="8"/>
  <c r="M22" i="8"/>
  <c r="N22" i="8" s="1"/>
  <c r="K22" i="8"/>
  <c r="H22" i="8"/>
  <c r="E22" i="8"/>
  <c r="W21" i="8"/>
  <c r="M21" i="8"/>
  <c r="N21" i="8" s="1"/>
  <c r="K21" i="8"/>
  <c r="H21" i="8"/>
  <c r="E21" i="8"/>
  <c r="W20" i="8"/>
  <c r="M20" i="8"/>
  <c r="N20" i="8" s="1"/>
  <c r="K20" i="8"/>
  <c r="H20" i="8"/>
  <c r="E20" i="8"/>
  <c r="W19" i="8"/>
  <c r="M19" i="8"/>
  <c r="N19" i="8" s="1"/>
  <c r="K19" i="8"/>
  <c r="H19" i="8"/>
  <c r="E19" i="8"/>
  <c r="W18" i="8"/>
  <c r="M18" i="8"/>
  <c r="N18" i="8" s="1"/>
  <c r="K18" i="8"/>
  <c r="H18" i="8"/>
  <c r="E18" i="8"/>
  <c r="W17" i="8"/>
  <c r="M17" i="8"/>
  <c r="N17" i="8" s="1"/>
  <c r="K17" i="8"/>
  <c r="H17" i="8"/>
  <c r="E17" i="8"/>
  <c r="W16" i="8"/>
  <c r="M16" i="8"/>
  <c r="N16" i="8" s="1"/>
  <c r="K16" i="8"/>
  <c r="H16" i="8"/>
  <c r="E16" i="8"/>
  <c r="W15" i="8"/>
  <c r="M15" i="8"/>
  <c r="N15" i="8" s="1"/>
  <c r="K15" i="8"/>
  <c r="H15" i="8"/>
  <c r="E15" i="8"/>
  <c r="W14" i="8"/>
  <c r="M14" i="8"/>
  <c r="N14" i="8" s="1"/>
  <c r="K14" i="8"/>
  <c r="H14" i="8"/>
  <c r="E14" i="8"/>
  <c r="W13" i="8"/>
  <c r="M13" i="8"/>
  <c r="N13" i="8" s="1"/>
  <c r="K13" i="8"/>
  <c r="H13" i="8"/>
  <c r="E13" i="8"/>
  <c r="W12" i="8"/>
  <c r="M12" i="8"/>
  <c r="N12" i="8" s="1"/>
  <c r="K12" i="8"/>
  <c r="H12" i="8"/>
  <c r="E12" i="8"/>
  <c r="W11" i="8"/>
  <c r="M11" i="8"/>
  <c r="K11" i="8"/>
  <c r="K4" i="8" s="1"/>
  <c r="H11" i="8"/>
  <c r="H4" i="8" s="1"/>
  <c r="E11" i="8"/>
  <c r="E4" i="8" s="1"/>
  <c r="W10" i="8"/>
  <c r="W4" i="8" s="1"/>
  <c r="M10" i="8"/>
  <c r="N10" i="8" s="1"/>
  <c r="K10" i="8"/>
  <c r="H10" i="8"/>
  <c r="E10" i="8"/>
  <c r="W9" i="8"/>
  <c r="M9" i="8"/>
  <c r="N9" i="8" s="1"/>
  <c r="K9" i="8"/>
  <c r="H9" i="8"/>
  <c r="E9" i="8"/>
  <c r="W8" i="8"/>
  <c r="M8" i="8"/>
  <c r="N8" i="8" s="1"/>
  <c r="K8" i="8"/>
  <c r="H8" i="8"/>
  <c r="E8" i="8"/>
  <c r="W7" i="8"/>
  <c r="M7" i="8"/>
  <c r="N7" i="8" s="1"/>
  <c r="K7" i="8"/>
  <c r="H7" i="8"/>
  <c r="E7" i="8"/>
  <c r="W6" i="8"/>
  <c r="M6" i="8"/>
  <c r="N6" i="8" s="1"/>
  <c r="K6" i="8"/>
  <c r="H6" i="8"/>
  <c r="E6" i="8"/>
  <c r="Z4" i="8"/>
  <c r="Y4" i="8"/>
  <c r="X4" i="8"/>
  <c r="V4" i="8"/>
  <c r="U4" i="8"/>
  <c r="T4" i="8"/>
  <c r="S4" i="8"/>
  <c r="R4" i="8"/>
  <c r="Q4" i="8"/>
  <c r="P4" i="8"/>
  <c r="O4" i="8"/>
  <c r="J4" i="8"/>
  <c r="G4" i="8"/>
  <c r="D4" i="8"/>
  <c r="B4" i="8"/>
  <c r="W27" i="7"/>
  <c r="M27" i="7"/>
  <c r="N27" i="7" s="1"/>
  <c r="L27" i="7"/>
  <c r="K27" i="7"/>
  <c r="H27" i="7"/>
  <c r="E27" i="7"/>
  <c r="W26" i="7"/>
  <c r="M26" i="7"/>
  <c r="N26" i="7" s="1"/>
  <c r="L26" i="7"/>
  <c r="K26" i="7"/>
  <c r="H26" i="7"/>
  <c r="E26" i="7"/>
  <c r="W25" i="7"/>
  <c r="M25" i="7"/>
  <c r="N25" i="7" s="1"/>
  <c r="L25" i="7"/>
  <c r="K25" i="7"/>
  <c r="H25" i="7"/>
  <c r="E25" i="7"/>
  <c r="W24" i="7"/>
  <c r="M24" i="7"/>
  <c r="N24" i="7" s="1"/>
  <c r="L24" i="7"/>
  <c r="K24" i="7"/>
  <c r="H24" i="7"/>
  <c r="E24" i="7"/>
  <c r="W23" i="7"/>
  <c r="M23" i="7"/>
  <c r="N23" i="7" s="1"/>
  <c r="L23" i="7"/>
  <c r="K23" i="7"/>
  <c r="H23" i="7"/>
  <c r="E23" i="7"/>
  <c r="W22" i="7"/>
  <c r="M22" i="7"/>
  <c r="N22" i="7" s="1"/>
  <c r="L22" i="7"/>
  <c r="K22" i="7"/>
  <c r="H22" i="7"/>
  <c r="E22" i="7"/>
  <c r="W21" i="7"/>
  <c r="M21" i="7"/>
  <c r="N21" i="7" s="1"/>
  <c r="L21" i="7"/>
  <c r="K21" i="7"/>
  <c r="H21" i="7"/>
  <c r="E21" i="7"/>
  <c r="W20" i="7"/>
  <c r="M20" i="7"/>
  <c r="N20" i="7" s="1"/>
  <c r="L20" i="7"/>
  <c r="K20" i="7"/>
  <c r="H20" i="7"/>
  <c r="E20" i="7"/>
  <c r="W19" i="7"/>
  <c r="M19" i="7"/>
  <c r="N19" i="7" s="1"/>
  <c r="L19" i="7"/>
  <c r="K19" i="7"/>
  <c r="H19" i="7"/>
  <c r="E19" i="7"/>
  <c r="W18" i="7"/>
  <c r="M18" i="7"/>
  <c r="N18" i="7" s="1"/>
  <c r="L18" i="7"/>
  <c r="K18" i="7"/>
  <c r="H18" i="7"/>
  <c r="E18" i="7"/>
  <c r="W17" i="7"/>
  <c r="M17" i="7"/>
  <c r="N17" i="7" s="1"/>
  <c r="L17" i="7"/>
  <c r="L4" i="7" s="1"/>
  <c r="K17" i="7"/>
  <c r="K4" i="7" s="1"/>
  <c r="H17" i="7"/>
  <c r="H4" i="7" s="1"/>
  <c r="E17" i="7"/>
  <c r="E4" i="7" s="1"/>
  <c r="W16" i="7"/>
  <c r="W4" i="7" s="1"/>
  <c r="M16" i="7"/>
  <c r="L16" i="7"/>
  <c r="K16" i="7"/>
  <c r="H16" i="7"/>
  <c r="E16" i="7"/>
  <c r="W15" i="7"/>
  <c r="M15" i="7"/>
  <c r="N15" i="7" s="1"/>
  <c r="L15" i="7"/>
  <c r="K15" i="7"/>
  <c r="H15" i="7"/>
  <c r="E15" i="7"/>
  <c r="W14" i="7"/>
  <c r="M14" i="7"/>
  <c r="N14" i="7" s="1"/>
  <c r="L14" i="7"/>
  <c r="K14" i="7"/>
  <c r="H14" i="7"/>
  <c r="E14" i="7"/>
  <c r="W13" i="7"/>
  <c r="M13" i="7"/>
  <c r="N13" i="7" s="1"/>
  <c r="L13" i="7"/>
  <c r="K13" i="7"/>
  <c r="H13" i="7"/>
  <c r="E13" i="7"/>
  <c r="W12" i="7"/>
  <c r="M12" i="7"/>
  <c r="N12" i="7" s="1"/>
  <c r="L12" i="7"/>
  <c r="K12" i="7"/>
  <c r="H12" i="7"/>
  <c r="E12" i="7"/>
  <c r="W11" i="7"/>
  <c r="M11" i="7"/>
  <c r="N11" i="7" s="1"/>
  <c r="L11" i="7"/>
  <c r="K11" i="7"/>
  <c r="H11" i="7"/>
  <c r="E11" i="7"/>
  <c r="W10" i="7"/>
  <c r="M10" i="7"/>
  <c r="N10" i="7" s="1"/>
  <c r="L10" i="7"/>
  <c r="K10" i="7"/>
  <c r="H10" i="7"/>
  <c r="E10" i="7"/>
  <c r="W9" i="7"/>
  <c r="M9" i="7"/>
  <c r="N9" i="7" s="1"/>
  <c r="L9" i="7"/>
  <c r="K9" i="7"/>
  <c r="H9" i="7"/>
  <c r="E9" i="7"/>
  <c r="W8" i="7"/>
  <c r="M8" i="7"/>
  <c r="N8" i="7" s="1"/>
  <c r="L8" i="7"/>
  <c r="K8" i="7"/>
  <c r="H8" i="7"/>
  <c r="E8" i="7"/>
  <c r="W7" i="7"/>
  <c r="M7" i="7"/>
  <c r="N7" i="7" s="1"/>
  <c r="L7" i="7"/>
  <c r="K7" i="7"/>
  <c r="H7" i="7"/>
  <c r="E7" i="7"/>
  <c r="W6" i="7"/>
  <c r="M6" i="7"/>
  <c r="N6" i="7" s="1"/>
  <c r="L6" i="7"/>
  <c r="K6" i="7"/>
  <c r="H6" i="7"/>
  <c r="E6" i="7"/>
  <c r="Z4" i="7"/>
  <c r="Y4" i="7"/>
  <c r="X4" i="7"/>
  <c r="V4" i="7"/>
  <c r="U4" i="7"/>
  <c r="T4" i="7"/>
  <c r="S4" i="7"/>
  <c r="R4" i="7"/>
  <c r="Q4" i="7"/>
  <c r="P4" i="7"/>
  <c r="O4" i="7"/>
  <c r="J4" i="7"/>
  <c r="I4" i="7"/>
  <c r="G4" i="7"/>
  <c r="F4" i="7"/>
  <c r="D4" i="7"/>
  <c r="C4" i="7"/>
  <c r="B4" i="7"/>
  <c r="M27" i="6"/>
  <c r="N27" i="6" s="1"/>
  <c r="L27" i="6"/>
  <c r="K27" i="6"/>
  <c r="H27" i="6"/>
  <c r="E27" i="6"/>
  <c r="M26" i="6"/>
  <c r="N26" i="6" s="1"/>
  <c r="L26" i="6"/>
  <c r="K26" i="6"/>
  <c r="H26" i="6"/>
  <c r="E26" i="6"/>
  <c r="M25" i="6"/>
  <c r="N25" i="6" s="1"/>
  <c r="L25" i="6"/>
  <c r="K25" i="6"/>
  <c r="H25" i="6"/>
  <c r="E25" i="6"/>
  <c r="M24" i="6"/>
  <c r="N24" i="6" s="1"/>
  <c r="L24" i="6"/>
  <c r="K24" i="6"/>
  <c r="H24" i="6"/>
  <c r="E24" i="6"/>
  <c r="M23" i="6"/>
  <c r="N23" i="6" s="1"/>
  <c r="L23" i="6"/>
  <c r="K23" i="6"/>
  <c r="H23" i="6"/>
  <c r="E23" i="6"/>
  <c r="M22" i="6"/>
  <c r="N22" i="6" s="1"/>
  <c r="L22" i="6"/>
  <c r="K22" i="6"/>
  <c r="H22" i="6"/>
  <c r="E22" i="6"/>
  <c r="M21" i="6"/>
  <c r="N21" i="6" s="1"/>
  <c r="L21" i="6"/>
  <c r="K21" i="6"/>
  <c r="H21" i="6"/>
  <c r="E21" i="6"/>
  <c r="M20" i="6"/>
  <c r="N20" i="6" s="1"/>
  <c r="L20" i="6"/>
  <c r="K20" i="6"/>
  <c r="H20" i="6"/>
  <c r="E20" i="6"/>
  <c r="M19" i="6"/>
  <c r="N19" i="6" s="1"/>
  <c r="L19" i="6"/>
  <c r="K19" i="6"/>
  <c r="H19" i="6"/>
  <c r="E19" i="6"/>
  <c r="M18" i="6"/>
  <c r="N18" i="6" s="1"/>
  <c r="L18" i="6"/>
  <c r="K18" i="6"/>
  <c r="H18" i="6"/>
  <c r="E18" i="6"/>
  <c r="M17" i="6"/>
  <c r="N17" i="6" s="1"/>
  <c r="L17" i="6"/>
  <c r="K17" i="6"/>
  <c r="H17" i="6"/>
  <c r="E17" i="6"/>
  <c r="M16" i="6"/>
  <c r="N16" i="6" s="1"/>
  <c r="L16" i="6"/>
  <c r="K16" i="6"/>
  <c r="H16" i="6"/>
  <c r="E16" i="6"/>
  <c r="M15" i="6"/>
  <c r="L15" i="6"/>
  <c r="N15" i="6" s="1"/>
  <c r="K15" i="6"/>
  <c r="H15" i="6"/>
  <c r="E15" i="6"/>
  <c r="M14" i="6"/>
  <c r="N14" i="6" s="1"/>
  <c r="L14" i="6"/>
  <c r="K14" i="6"/>
  <c r="H14" i="6"/>
  <c r="E14" i="6"/>
  <c r="M13" i="6"/>
  <c r="N13" i="6" s="1"/>
  <c r="L13" i="6"/>
  <c r="K13" i="6"/>
  <c r="H13" i="6"/>
  <c r="E13" i="6"/>
  <c r="M12" i="6"/>
  <c r="N12" i="6" s="1"/>
  <c r="L12" i="6"/>
  <c r="K12" i="6"/>
  <c r="H12" i="6"/>
  <c r="E12" i="6"/>
  <c r="M11" i="6"/>
  <c r="N11" i="6" s="1"/>
  <c r="L11" i="6"/>
  <c r="K11" i="6"/>
  <c r="H11" i="6"/>
  <c r="E11" i="6"/>
  <c r="M10" i="6"/>
  <c r="N10" i="6" s="1"/>
  <c r="L10" i="6"/>
  <c r="K10" i="6"/>
  <c r="H10" i="6"/>
  <c r="E10" i="6"/>
  <c r="M9" i="6"/>
  <c r="N9" i="6" s="1"/>
  <c r="L9" i="6"/>
  <c r="K9" i="6"/>
  <c r="H9" i="6"/>
  <c r="E9" i="6"/>
  <c r="M8" i="6"/>
  <c r="N8" i="6" s="1"/>
  <c r="L8" i="6"/>
  <c r="K8" i="6"/>
  <c r="H8" i="6"/>
  <c r="E8" i="6"/>
  <c r="M7" i="6"/>
  <c r="N7" i="6" s="1"/>
  <c r="L7" i="6"/>
  <c r="K7" i="6"/>
  <c r="H7" i="6"/>
  <c r="E7" i="6"/>
  <c r="M6" i="6"/>
  <c r="N6" i="6" s="1"/>
  <c r="N4" i="6" s="1"/>
  <c r="L6" i="6"/>
  <c r="K6" i="6"/>
  <c r="H6" i="6"/>
  <c r="E6" i="6"/>
  <c r="Z4" i="6"/>
  <c r="Y4" i="6"/>
  <c r="X4" i="6"/>
  <c r="W4" i="6"/>
  <c r="V4" i="6"/>
  <c r="U4" i="6"/>
  <c r="T4" i="6"/>
  <c r="S4" i="6"/>
  <c r="R4" i="6"/>
  <c r="Q4" i="6"/>
  <c r="P4" i="6"/>
  <c r="O4" i="6"/>
  <c r="M4" i="6"/>
  <c r="L4" i="6"/>
  <c r="K4" i="6"/>
  <c r="J4" i="6"/>
  <c r="I4" i="6"/>
  <c r="H4" i="6"/>
  <c r="G4" i="6"/>
  <c r="F4" i="6"/>
  <c r="E4" i="6"/>
  <c r="D4" i="6"/>
  <c r="C4" i="6"/>
  <c r="B4" i="6"/>
  <c r="M27" i="5"/>
  <c r="N27" i="5" s="1"/>
  <c r="L27" i="5"/>
  <c r="K27" i="5"/>
  <c r="H27" i="5"/>
  <c r="E27" i="5"/>
  <c r="M26" i="5"/>
  <c r="N26" i="5" s="1"/>
  <c r="L26" i="5"/>
  <c r="K26" i="5"/>
  <c r="H26" i="5"/>
  <c r="E26" i="5"/>
  <c r="M25" i="5"/>
  <c r="N25" i="5" s="1"/>
  <c r="L25" i="5"/>
  <c r="K25" i="5"/>
  <c r="H25" i="5"/>
  <c r="E25" i="5"/>
  <c r="M24" i="5"/>
  <c r="N24" i="5" s="1"/>
  <c r="L24" i="5"/>
  <c r="K24" i="5"/>
  <c r="H24" i="5"/>
  <c r="E24" i="5"/>
  <c r="M23" i="5"/>
  <c r="N23" i="5" s="1"/>
  <c r="L23" i="5"/>
  <c r="K23" i="5"/>
  <c r="H23" i="5"/>
  <c r="E23" i="5"/>
  <c r="M22" i="5"/>
  <c r="N22" i="5" s="1"/>
  <c r="L22" i="5"/>
  <c r="K22" i="5"/>
  <c r="H22" i="5"/>
  <c r="E22" i="5"/>
  <c r="M21" i="5"/>
  <c r="N21" i="5" s="1"/>
  <c r="L21" i="5"/>
  <c r="K21" i="5"/>
  <c r="H21" i="5"/>
  <c r="E21" i="5"/>
  <c r="M20" i="5"/>
  <c r="N20" i="5" s="1"/>
  <c r="L20" i="5"/>
  <c r="K20" i="5"/>
  <c r="H20" i="5"/>
  <c r="E20" i="5"/>
  <c r="M19" i="5"/>
  <c r="N19" i="5" s="1"/>
  <c r="L19" i="5"/>
  <c r="K19" i="5"/>
  <c r="H19" i="5"/>
  <c r="E19" i="5"/>
  <c r="M18" i="5"/>
  <c r="N18" i="5" s="1"/>
  <c r="L18" i="5"/>
  <c r="K18" i="5"/>
  <c r="H18" i="5"/>
  <c r="E18" i="5"/>
  <c r="M17" i="5"/>
  <c r="N17" i="5" s="1"/>
  <c r="L17" i="5"/>
  <c r="K17" i="5"/>
  <c r="H17" i="5"/>
  <c r="E17" i="5"/>
  <c r="M16" i="5"/>
  <c r="N16" i="5" s="1"/>
  <c r="L16" i="5"/>
  <c r="K16" i="5"/>
  <c r="H16" i="5"/>
  <c r="E16" i="5"/>
  <c r="M15" i="5"/>
  <c r="N15" i="5" s="1"/>
  <c r="L15" i="5"/>
  <c r="K15" i="5"/>
  <c r="H15" i="5"/>
  <c r="E15" i="5"/>
  <c r="M14" i="5"/>
  <c r="N14" i="5" s="1"/>
  <c r="L14" i="5"/>
  <c r="K14" i="5"/>
  <c r="H14" i="5"/>
  <c r="E14" i="5"/>
  <c r="M13" i="5"/>
  <c r="N13" i="5" s="1"/>
  <c r="L13" i="5"/>
  <c r="K13" i="5"/>
  <c r="H13" i="5"/>
  <c r="E13" i="5"/>
  <c r="M12" i="5"/>
  <c r="N12" i="5" s="1"/>
  <c r="L12" i="5"/>
  <c r="K12" i="5"/>
  <c r="H12" i="5"/>
  <c r="E12" i="5"/>
  <c r="M11" i="5"/>
  <c r="N11" i="5" s="1"/>
  <c r="L11" i="5"/>
  <c r="K11" i="5"/>
  <c r="H11" i="5"/>
  <c r="E11" i="5"/>
  <c r="M10" i="5"/>
  <c r="N10" i="5" s="1"/>
  <c r="L10" i="5"/>
  <c r="K10" i="5"/>
  <c r="H10" i="5"/>
  <c r="E10" i="5"/>
  <c r="M9" i="5"/>
  <c r="N9" i="5" s="1"/>
  <c r="L9" i="5"/>
  <c r="K9" i="5"/>
  <c r="H9" i="5"/>
  <c r="E9" i="5"/>
  <c r="M8" i="5"/>
  <c r="N8" i="5" s="1"/>
  <c r="L8" i="5"/>
  <c r="K8" i="5"/>
  <c r="H8" i="5"/>
  <c r="E8" i="5"/>
  <c r="M7" i="5"/>
  <c r="N7" i="5" s="1"/>
  <c r="L7" i="5"/>
  <c r="K7" i="5"/>
  <c r="H7" i="5"/>
  <c r="E7" i="5"/>
  <c r="M6" i="5"/>
  <c r="N6" i="5" s="1"/>
  <c r="L6" i="5"/>
  <c r="K6" i="5"/>
  <c r="H6" i="5"/>
  <c r="E6" i="5"/>
  <c r="Z4" i="5"/>
  <c r="Y4" i="5"/>
  <c r="X4" i="5"/>
  <c r="W4" i="5"/>
  <c r="V4" i="5"/>
  <c r="U4" i="5"/>
  <c r="T4" i="5"/>
  <c r="S4" i="5"/>
  <c r="R4" i="5"/>
  <c r="Q4" i="5"/>
  <c r="P4" i="5"/>
  <c r="O4" i="5"/>
  <c r="M4" i="5"/>
  <c r="L4" i="5"/>
  <c r="K4" i="5"/>
  <c r="J4" i="5"/>
  <c r="I4" i="5"/>
  <c r="H4" i="5"/>
  <c r="G4" i="5"/>
  <c r="F4" i="5"/>
  <c r="E4" i="5"/>
  <c r="D4" i="5"/>
  <c r="C4" i="5"/>
  <c r="B4" i="5"/>
  <c r="M27" i="4"/>
  <c r="N27" i="4" s="1"/>
  <c r="L27" i="4"/>
  <c r="K27" i="4"/>
  <c r="H27" i="4"/>
  <c r="E27" i="4"/>
  <c r="M26" i="4"/>
  <c r="N26" i="4" s="1"/>
  <c r="L26" i="4"/>
  <c r="K26" i="4"/>
  <c r="H26" i="4"/>
  <c r="E26" i="4"/>
  <c r="M25" i="4"/>
  <c r="N25" i="4" s="1"/>
  <c r="L25" i="4"/>
  <c r="K25" i="4"/>
  <c r="H25" i="4"/>
  <c r="E25" i="4"/>
  <c r="M24" i="4"/>
  <c r="N24" i="4" s="1"/>
  <c r="L24" i="4"/>
  <c r="K24" i="4"/>
  <c r="H24" i="4"/>
  <c r="E24" i="4"/>
  <c r="M23" i="4"/>
  <c r="N23" i="4" s="1"/>
  <c r="L23" i="4"/>
  <c r="K23" i="4"/>
  <c r="H23" i="4"/>
  <c r="E23" i="4"/>
  <c r="M22" i="4"/>
  <c r="N22" i="4" s="1"/>
  <c r="L22" i="4"/>
  <c r="K22" i="4"/>
  <c r="H22" i="4"/>
  <c r="E22" i="4"/>
  <c r="M21" i="4"/>
  <c r="N21" i="4" s="1"/>
  <c r="L21" i="4"/>
  <c r="K21" i="4"/>
  <c r="H21" i="4"/>
  <c r="E21" i="4"/>
  <c r="M20" i="4"/>
  <c r="N20" i="4" s="1"/>
  <c r="L20" i="4"/>
  <c r="K20" i="4"/>
  <c r="H20" i="4"/>
  <c r="E20" i="4"/>
  <c r="M19" i="4"/>
  <c r="N19" i="4" s="1"/>
  <c r="L19" i="4"/>
  <c r="K19" i="4"/>
  <c r="H19" i="4"/>
  <c r="E19" i="4"/>
  <c r="M18" i="4"/>
  <c r="N18" i="4" s="1"/>
  <c r="L18" i="4"/>
  <c r="K18" i="4"/>
  <c r="H18" i="4"/>
  <c r="E18" i="4"/>
  <c r="M17" i="4"/>
  <c r="N17" i="4" s="1"/>
  <c r="L17" i="4"/>
  <c r="K17" i="4"/>
  <c r="H17" i="4"/>
  <c r="E17" i="4"/>
  <c r="M16" i="4"/>
  <c r="N16" i="4" s="1"/>
  <c r="L16" i="4"/>
  <c r="K16" i="4"/>
  <c r="H16" i="4"/>
  <c r="E16" i="4"/>
  <c r="M15" i="4"/>
  <c r="N15" i="4" s="1"/>
  <c r="L15" i="4"/>
  <c r="K15" i="4"/>
  <c r="H15" i="4"/>
  <c r="E15" i="4"/>
  <c r="M14" i="4"/>
  <c r="N14" i="4" s="1"/>
  <c r="L14" i="4"/>
  <c r="K14" i="4"/>
  <c r="H14" i="4"/>
  <c r="E14" i="4"/>
  <c r="M13" i="4"/>
  <c r="N13" i="4" s="1"/>
  <c r="L13" i="4"/>
  <c r="K13" i="4"/>
  <c r="H13" i="4"/>
  <c r="E13" i="4"/>
  <c r="M12" i="4"/>
  <c r="N12" i="4" s="1"/>
  <c r="L12" i="4"/>
  <c r="K12" i="4"/>
  <c r="H12" i="4"/>
  <c r="E12" i="4"/>
  <c r="M11" i="4"/>
  <c r="N11" i="4" s="1"/>
  <c r="L11" i="4"/>
  <c r="K11" i="4"/>
  <c r="H11" i="4"/>
  <c r="E11" i="4"/>
  <c r="M10" i="4"/>
  <c r="N10" i="4" s="1"/>
  <c r="L10" i="4"/>
  <c r="K10" i="4"/>
  <c r="H10" i="4"/>
  <c r="E10" i="4"/>
  <c r="M9" i="4"/>
  <c r="N9" i="4" s="1"/>
  <c r="L9" i="4"/>
  <c r="K9" i="4"/>
  <c r="H9" i="4"/>
  <c r="E9" i="4"/>
  <c r="M8" i="4"/>
  <c r="N8" i="4" s="1"/>
  <c r="L8" i="4"/>
  <c r="K8" i="4"/>
  <c r="H8" i="4"/>
  <c r="E8" i="4"/>
  <c r="M7" i="4"/>
  <c r="N7" i="4" s="1"/>
  <c r="L7" i="4"/>
  <c r="K7" i="4"/>
  <c r="H7" i="4"/>
  <c r="E7" i="4"/>
  <c r="M6" i="4"/>
  <c r="N6" i="4" s="1"/>
  <c r="L6" i="4"/>
  <c r="K6" i="4"/>
  <c r="H6" i="4"/>
  <c r="E6" i="4"/>
  <c r="Z4" i="4"/>
  <c r="Y4" i="4"/>
  <c r="X4" i="4"/>
  <c r="W4" i="4"/>
  <c r="V4" i="4"/>
  <c r="U4" i="4"/>
  <c r="T4" i="4"/>
  <c r="S4" i="4"/>
  <c r="R4" i="4"/>
  <c r="Q4" i="4"/>
  <c r="P4" i="4"/>
  <c r="O4" i="4"/>
  <c r="M4" i="4"/>
  <c r="L4" i="4"/>
  <c r="K4" i="4"/>
  <c r="J4" i="4"/>
  <c r="I4" i="4"/>
  <c r="H4" i="4"/>
  <c r="G4" i="4"/>
  <c r="F4" i="4"/>
  <c r="E4" i="4"/>
  <c r="D4" i="4"/>
  <c r="C4" i="4"/>
  <c r="B4" i="4"/>
  <c r="M27" i="3"/>
  <c r="N27" i="3" s="1"/>
  <c r="L27" i="3"/>
  <c r="K27" i="3"/>
  <c r="H27" i="3"/>
  <c r="E27" i="3"/>
  <c r="M26" i="3"/>
  <c r="N26" i="3" s="1"/>
  <c r="L26" i="3"/>
  <c r="K26" i="3"/>
  <c r="H26" i="3"/>
  <c r="E26" i="3"/>
  <c r="M25" i="3"/>
  <c r="N25" i="3" s="1"/>
  <c r="L25" i="3"/>
  <c r="K25" i="3"/>
  <c r="H25" i="3"/>
  <c r="E25" i="3"/>
  <c r="M24" i="3"/>
  <c r="N24" i="3" s="1"/>
  <c r="L24" i="3"/>
  <c r="K24" i="3"/>
  <c r="H24" i="3"/>
  <c r="E24" i="3"/>
  <c r="M23" i="3"/>
  <c r="N23" i="3" s="1"/>
  <c r="L23" i="3"/>
  <c r="K23" i="3"/>
  <c r="H23" i="3"/>
  <c r="E23" i="3"/>
  <c r="M22" i="3"/>
  <c r="N22" i="3" s="1"/>
  <c r="L22" i="3"/>
  <c r="K22" i="3"/>
  <c r="H22" i="3"/>
  <c r="E22" i="3"/>
  <c r="M21" i="3"/>
  <c r="N21" i="3" s="1"/>
  <c r="L21" i="3"/>
  <c r="K21" i="3"/>
  <c r="H21" i="3"/>
  <c r="E21" i="3"/>
  <c r="M20" i="3"/>
  <c r="N20" i="3" s="1"/>
  <c r="L20" i="3"/>
  <c r="K20" i="3"/>
  <c r="H20" i="3"/>
  <c r="E20" i="3"/>
  <c r="M19" i="3"/>
  <c r="N19" i="3" s="1"/>
  <c r="L19" i="3"/>
  <c r="K19" i="3"/>
  <c r="H19" i="3"/>
  <c r="E19" i="3"/>
  <c r="M18" i="3"/>
  <c r="N18" i="3" s="1"/>
  <c r="L18" i="3"/>
  <c r="K18" i="3"/>
  <c r="H18" i="3"/>
  <c r="E18" i="3"/>
  <c r="M17" i="3"/>
  <c r="N17" i="3" s="1"/>
  <c r="L17" i="3"/>
  <c r="K17" i="3"/>
  <c r="H17" i="3"/>
  <c r="E17" i="3"/>
  <c r="M16" i="3"/>
  <c r="N16" i="3" s="1"/>
  <c r="L16" i="3"/>
  <c r="K16" i="3"/>
  <c r="H16" i="3"/>
  <c r="E16" i="3"/>
  <c r="N15" i="3"/>
  <c r="M15" i="3"/>
  <c r="L15" i="3"/>
  <c r="K15" i="3"/>
  <c r="H15" i="3"/>
  <c r="E15" i="3"/>
  <c r="M14" i="3"/>
  <c r="N14" i="3" s="1"/>
  <c r="L14" i="3"/>
  <c r="K14" i="3"/>
  <c r="H14" i="3"/>
  <c r="E14" i="3"/>
  <c r="N13" i="3"/>
  <c r="M13" i="3"/>
  <c r="L13" i="3"/>
  <c r="K13" i="3"/>
  <c r="H13" i="3"/>
  <c r="E13" i="3"/>
  <c r="M12" i="3"/>
  <c r="N12" i="3" s="1"/>
  <c r="L12" i="3"/>
  <c r="K12" i="3"/>
  <c r="H12" i="3"/>
  <c r="E12" i="3"/>
  <c r="M11" i="3"/>
  <c r="N11" i="3" s="1"/>
  <c r="L11" i="3"/>
  <c r="K11" i="3"/>
  <c r="H11" i="3"/>
  <c r="E11" i="3"/>
  <c r="M10" i="3"/>
  <c r="N10" i="3" s="1"/>
  <c r="L10" i="3"/>
  <c r="K10" i="3"/>
  <c r="H10" i="3"/>
  <c r="E10" i="3"/>
  <c r="M9" i="3"/>
  <c r="N9" i="3" s="1"/>
  <c r="L9" i="3"/>
  <c r="K9" i="3"/>
  <c r="H9" i="3"/>
  <c r="E9" i="3"/>
  <c r="M8" i="3"/>
  <c r="N8" i="3" s="1"/>
  <c r="L8" i="3"/>
  <c r="K8" i="3"/>
  <c r="H8" i="3"/>
  <c r="E8" i="3"/>
  <c r="M7" i="3"/>
  <c r="N7" i="3" s="1"/>
  <c r="L7" i="3"/>
  <c r="K7" i="3"/>
  <c r="H7" i="3"/>
  <c r="E7" i="3"/>
  <c r="M6" i="3"/>
  <c r="N6" i="3" s="1"/>
  <c r="N4" i="3" s="1"/>
  <c r="L6" i="3"/>
  <c r="K6" i="3"/>
  <c r="H6" i="3"/>
  <c r="E6" i="3"/>
  <c r="Z4" i="3"/>
  <c r="Y4" i="3"/>
  <c r="X4" i="3"/>
  <c r="W4" i="3"/>
  <c r="V4" i="3"/>
  <c r="U4" i="3"/>
  <c r="T4" i="3"/>
  <c r="S4" i="3"/>
  <c r="R4" i="3"/>
  <c r="Q4" i="3"/>
  <c r="P4" i="3"/>
  <c r="O4" i="3"/>
  <c r="M4" i="3"/>
  <c r="L4" i="3"/>
  <c r="K4" i="3"/>
  <c r="J4" i="3"/>
  <c r="I4" i="3"/>
  <c r="H4" i="3"/>
  <c r="G4" i="3"/>
  <c r="F4" i="3"/>
  <c r="E4" i="3"/>
  <c r="D4" i="3"/>
  <c r="C4" i="3"/>
  <c r="B4" i="3"/>
  <c r="M27" i="2"/>
  <c r="N27" i="2" s="1"/>
  <c r="L27" i="2"/>
  <c r="K27" i="2"/>
  <c r="H27" i="2"/>
  <c r="E27" i="2"/>
  <c r="M26" i="2"/>
  <c r="N26" i="2" s="1"/>
  <c r="L26" i="2"/>
  <c r="K26" i="2"/>
  <c r="H26" i="2"/>
  <c r="E26" i="2"/>
  <c r="M25" i="2"/>
  <c r="N25" i="2" s="1"/>
  <c r="L25" i="2"/>
  <c r="K25" i="2"/>
  <c r="H25" i="2"/>
  <c r="E25" i="2"/>
  <c r="M24" i="2"/>
  <c r="N24" i="2" s="1"/>
  <c r="L24" i="2"/>
  <c r="K24" i="2"/>
  <c r="H24" i="2"/>
  <c r="E24" i="2"/>
  <c r="M23" i="2"/>
  <c r="N23" i="2" s="1"/>
  <c r="L23" i="2"/>
  <c r="K23" i="2"/>
  <c r="H23" i="2"/>
  <c r="E23" i="2"/>
  <c r="M22" i="2"/>
  <c r="N22" i="2" s="1"/>
  <c r="L22" i="2"/>
  <c r="K22" i="2"/>
  <c r="H22" i="2"/>
  <c r="E22" i="2"/>
  <c r="M21" i="2"/>
  <c r="N21" i="2" s="1"/>
  <c r="L21" i="2"/>
  <c r="K21" i="2"/>
  <c r="H21" i="2"/>
  <c r="E21" i="2"/>
  <c r="M20" i="2"/>
  <c r="N20" i="2" s="1"/>
  <c r="L20" i="2"/>
  <c r="K20" i="2"/>
  <c r="H20" i="2"/>
  <c r="E20" i="2"/>
  <c r="M19" i="2"/>
  <c r="N19" i="2" s="1"/>
  <c r="L19" i="2"/>
  <c r="K19" i="2"/>
  <c r="H19" i="2"/>
  <c r="E19" i="2"/>
  <c r="M18" i="2"/>
  <c r="N18" i="2" s="1"/>
  <c r="L18" i="2"/>
  <c r="K18" i="2"/>
  <c r="H18" i="2"/>
  <c r="E18" i="2"/>
  <c r="M17" i="2"/>
  <c r="N17" i="2" s="1"/>
  <c r="L17" i="2"/>
  <c r="K17" i="2"/>
  <c r="H17" i="2"/>
  <c r="E17" i="2"/>
  <c r="M16" i="2"/>
  <c r="N16" i="2" s="1"/>
  <c r="L16" i="2"/>
  <c r="K16" i="2"/>
  <c r="H16" i="2"/>
  <c r="E16" i="2"/>
  <c r="M15" i="2"/>
  <c r="N15" i="2" s="1"/>
  <c r="L15" i="2"/>
  <c r="K15" i="2"/>
  <c r="H15" i="2"/>
  <c r="E15" i="2"/>
  <c r="M14" i="2"/>
  <c r="N14" i="2" s="1"/>
  <c r="L14" i="2"/>
  <c r="K14" i="2"/>
  <c r="H14" i="2"/>
  <c r="E14" i="2"/>
  <c r="M13" i="2"/>
  <c r="N13" i="2" s="1"/>
  <c r="L13" i="2"/>
  <c r="K13" i="2"/>
  <c r="H13" i="2"/>
  <c r="E13" i="2"/>
  <c r="M12" i="2"/>
  <c r="N12" i="2" s="1"/>
  <c r="L12" i="2"/>
  <c r="K12" i="2"/>
  <c r="H12" i="2"/>
  <c r="E12" i="2"/>
  <c r="M11" i="2"/>
  <c r="N11" i="2" s="1"/>
  <c r="L11" i="2"/>
  <c r="K11" i="2"/>
  <c r="H11" i="2"/>
  <c r="E11" i="2"/>
  <c r="M10" i="2"/>
  <c r="N10" i="2" s="1"/>
  <c r="L10" i="2"/>
  <c r="K10" i="2"/>
  <c r="H10" i="2"/>
  <c r="E10" i="2"/>
  <c r="M9" i="2"/>
  <c r="N9" i="2" s="1"/>
  <c r="L9" i="2"/>
  <c r="K9" i="2"/>
  <c r="H9" i="2"/>
  <c r="E9" i="2"/>
  <c r="M8" i="2"/>
  <c r="N8" i="2" s="1"/>
  <c r="L8" i="2"/>
  <c r="K8" i="2"/>
  <c r="H8" i="2"/>
  <c r="E8" i="2"/>
  <c r="M7" i="2"/>
  <c r="N7" i="2" s="1"/>
  <c r="L7" i="2"/>
  <c r="K7" i="2"/>
  <c r="H7" i="2"/>
  <c r="E7" i="2"/>
  <c r="M6" i="2"/>
  <c r="N6" i="2" s="1"/>
  <c r="N4" i="2" s="1"/>
  <c r="L6" i="2"/>
  <c r="K6" i="2"/>
  <c r="H6" i="2"/>
  <c r="E6" i="2"/>
  <c r="Z4" i="2"/>
  <c r="Y4" i="2"/>
  <c r="X4" i="2"/>
  <c r="W4" i="2"/>
  <c r="V4" i="2"/>
  <c r="U4" i="2"/>
  <c r="T4" i="2"/>
  <c r="S4" i="2"/>
  <c r="R4" i="2"/>
  <c r="Q4" i="2"/>
  <c r="P4" i="2"/>
  <c r="O4" i="2"/>
  <c r="M4" i="2"/>
  <c r="L4" i="2"/>
  <c r="K4" i="2"/>
  <c r="J4" i="2"/>
  <c r="I4" i="2"/>
  <c r="H4" i="2"/>
  <c r="G4" i="2"/>
  <c r="F4" i="2"/>
  <c r="E4" i="2"/>
  <c r="D4" i="2"/>
  <c r="C4" i="2"/>
  <c r="B4" i="2"/>
  <c r="M27" i="1"/>
  <c r="N27" i="1" s="1"/>
  <c r="L27" i="1"/>
  <c r="K27" i="1"/>
  <c r="H27" i="1"/>
  <c r="E27" i="1"/>
  <c r="M26" i="1"/>
  <c r="N26" i="1" s="1"/>
  <c r="L26" i="1"/>
  <c r="K26" i="1"/>
  <c r="H26" i="1"/>
  <c r="E26" i="1"/>
  <c r="M25" i="1"/>
  <c r="N25" i="1" s="1"/>
  <c r="L25" i="1"/>
  <c r="K25" i="1"/>
  <c r="H25" i="1"/>
  <c r="E25" i="1"/>
  <c r="M24" i="1"/>
  <c r="N24" i="1" s="1"/>
  <c r="L24" i="1"/>
  <c r="L4" i="1" s="1"/>
  <c r="K24" i="1"/>
  <c r="K4" i="1" s="1"/>
  <c r="H24" i="1"/>
  <c r="H4" i="1" s="1"/>
  <c r="E24" i="1"/>
  <c r="E4" i="1" s="1"/>
  <c r="M23" i="1"/>
  <c r="L23" i="1"/>
  <c r="K23" i="1"/>
  <c r="H23" i="1"/>
  <c r="E23" i="1"/>
  <c r="M22" i="1"/>
  <c r="N22" i="1" s="1"/>
  <c r="L22" i="1"/>
  <c r="K22" i="1"/>
  <c r="H22" i="1"/>
  <c r="E22" i="1"/>
  <c r="M21" i="1"/>
  <c r="N21" i="1" s="1"/>
  <c r="L21" i="1"/>
  <c r="K21" i="1"/>
  <c r="H21" i="1"/>
  <c r="E21" i="1"/>
  <c r="M20" i="1"/>
  <c r="N20" i="1" s="1"/>
  <c r="L20" i="1"/>
  <c r="K20" i="1"/>
  <c r="H20" i="1"/>
  <c r="E20" i="1"/>
  <c r="M19" i="1"/>
  <c r="N19" i="1" s="1"/>
  <c r="L19" i="1"/>
  <c r="K19" i="1"/>
  <c r="H19" i="1"/>
  <c r="E19" i="1"/>
  <c r="M18" i="1"/>
  <c r="N18" i="1" s="1"/>
  <c r="L18" i="1"/>
  <c r="K18" i="1"/>
  <c r="H18" i="1"/>
  <c r="E18" i="1"/>
  <c r="M17" i="1"/>
  <c r="N17" i="1" s="1"/>
  <c r="L17" i="1"/>
  <c r="K17" i="1"/>
  <c r="H17" i="1"/>
  <c r="E17" i="1"/>
  <c r="M16" i="1"/>
  <c r="N16" i="1" s="1"/>
  <c r="L16" i="1"/>
  <c r="K16" i="1"/>
  <c r="H16" i="1"/>
  <c r="E16" i="1"/>
  <c r="M15" i="1"/>
  <c r="N15" i="1" s="1"/>
  <c r="L15" i="1"/>
  <c r="K15" i="1"/>
  <c r="H15" i="1"/>
  <c r="E15" i="1"/>
  <c r="M14" i="1"/>
  <c r="N14" i="1" s="1"/>
  <c r="L14" i="1"/>
  <c r="K14" i="1"/>
  <c r="H14" i="1"/>
  <c r="E14" i="1"/>
  <c r="M13" i="1"/>
  <c r="N13" i="1" s="1"/>
  <c r="L13" i="1"/>
  <c r="K13" i="1"/>
  <c r="H13" i="1"/>
  <c r="E13" i="1"/>
  <c r="M12" i="1"/>
  <c r="N12" i="1" s="1"/>
  <c r="L12" i="1"/>
  <c r="K12" i="1"/>
  <c r="H12" i="1"/>
  <c r="E12" i="1"/>
  <c r="M11" i="1"/>
  <c r="N11" i="1" s="1"/>
  <c r="L11" i="1"/>
  <c r="K11" i="1"/>
  <c r="H11" i="1"/>
  <c r="E11" i="1"/>
  <c r="M10" i="1"/>
  <c r="N10" i="1" s="1"/>
  <c r="L10" i="1"/>
  <c r="K10" i="1"/>
  <c r="H10" i="1"/>
  <c r="E10" i="1"/>
  <c r="M9" i="1"/>
  <c r="N9" i="1" s="1"/>
  <c r="L9" i="1"/>
  <c r="K9" i="1"/>
  <c r="H9" i="1"/>
  <c r="E9" i="1"/>
  <c r="M8" i="1"/>
  <c r="N8" i="1" s="1"/>
  <c r="L8" i="1"/>
  <c r="K8" i="1"/>
  <c r="H8" i="1"/>
  <c r="E8" i="1"/>
  <c r="M7" i="1"/>
  <c r="N7" i="1" s="1"/>
  <c r="L7" i="1"/>
  <c r="K7" i="1"/>
  <c r="H7" i="1"/>
  <c r="E7" i="1"/>
  <c r="M6" i="1"/>
  <c r="N6" i="1" s="1"/>
  <c r="L6" i="1"/>
  <c r="K6" i="1"/>
  <c r="H6" i="1"/>
  <c r="E6" i="1"/>
  <c r="Z4" i="1"/>
  <c r="Y4" i="1"/>
  <c r="X4" i="1"/>
  <c r="W4" i="1"/>
  <c r="V4" i="1"/>
  <c r="U4" i="1"/>
  <c r="T4" i="1"/>
  <c r="S4" i="1"/>
  <c r="R4" i="1"/>
  <c r="Q4" i="1"/>
  <c r="P4" i="1"/>
  <c r="O4" i="1"/>
  <c r="J4" i="1"/>
  <c r="I4" i="1"/>
  <c r="G4" i="1"/>
  <c r="F4" i="1"/>
  <c r="D4" i="1"/>
  <c r="C4" i="1"/>
  <c r="B4" i="1"/>
  <c r="M4" i="9" l="1"/>
  <c r="N6" i="9"/>
  <c r="N4" i="9" s="1"/>
  <c r="N11" i="8"/>
  <c r="N4" i="8" s="1"/>
  <c r="M4" i="8"/>
  <c r="N16" i="7"/>
  <c r="N4" i="7" s="1"/>
  <c r="M4" i="7"/>
  <c r="N23" i="1"/>
  <c r="N4" i="1" s="1"/>
  <c r="M4" i="1"/>
  <c r="N4" i="5"/>
  <c r="N4" i="4"/>
</calcChain>
</file>

<file path=xl/sharedStrings.xml><?xml version="1.0" encoding="utf-8"?>
<sst xmlns="http://schemas.openxmlformats.org/spreadsheetml/2006/main" count="535" uniqueCount="64">
  <si>
    <t xml:space="preserve"> На 23.06.2026</t>
  </si>
  <si>
    <t>состоит на учете</t>
  </si>
  <si>
    <t>состояли на учете на 31.12.2025</t>
  </si>
  <si>
    <t>обратились в КЦ</t>
  </si>
  <si>
    <t>сняты с учета</t>
  </si>
  <si>
    <t>причины снятия с учета</t>
  </si>
  <si>
    <t>Обучение (нарастающий итог с 01.01.2026)</t>
  </si>
  <si>
    <t>Всего</t>
  </si>
  <si>
    <t>инвалид</t>
  </si>
  <si>
    <t>ИТУ</t>
  </si>
  <si>
    <t>ИТУ+Инвалид</t>
  </si>
  <si>
    <t>образование</t>
  </si>
  <si>
    <t>возраст</t>
  </si>
  <si>
    <t>Краткий комментарий о состоящих на учете</t>
  </si>
  <si>
    <t>предыдущая неделя</t>
  </si>
  <si>
    <t>За 2 недели</t>
  </si>
  <si>
    <t>Всего трудоустройство</t>
  </si>
  <si>
    <t>Всего иная причина</t>
  </si>
  <si>
    <t>направлено</t>
  </si>
  <si>
    <t>завершили</t>
  </si>
  <si>
    <t>ВО</t>
  </si>
  <si>
    <t>СПО</t>
  </si>
  <si>
    <t>иное</t>
  </si>
  <si>
    <t>До 30</t>
  </si>
  <si>
    <t>От 30 до 50</t>
  </si>
  <si>
    <t>От 51</t>
  </si>
  <si>
    <t>Архангельская область</t>
  </si>
  <si>
    <t>х</t>
  </si>
  <si>
    <t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</si>
  <si>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</si>
  <si>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</si>
  <si>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</si>
  <si>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</si>
  <si>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</si>
  <si>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</si>
  <si>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</si>
  <si>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</si>
  <si>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</si>
  <si>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</si>
  <si>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</si>
  <si>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</si>
  <si>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</si>
  <si>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</si>
  <si>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</si>
  <si>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</si>
  <si>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</si>
  <si>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</si>
  <si>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</si>
  <si>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</si>
  <si>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</si>
  <si>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</si>
  <si>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>8 Нац проект</t>
  </si>
  <si>
    <t xml:space="preserve"> На 10.06.2026</t>
  </si>
  <si>
    <t xml:space="preserve"> На 28.05.2026</t>
  </si>
  <si>
    <t>За неделю</t>
  </si>
  <si>
    <t xml:space="preserve"> На 21.05.2026</t>
  </si>
  <si>
    <t>2 Нац проект</t>
  </si>
  <si>
    <t xml:space="preserve"> На 14.05.2026</t>
  </si>
  <si>
    <t xml:space="preserve"> На 07.05.2026</t>
  </si>
  <si>
    <t>за неделю</t>
  </si>
  <si>
    <t>за 2 недели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</si>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</sst>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mmm&quot;.&quot;yy"/>
    <numFmt numFmtId="165" formatCode="#,##0.00&quot; &quot;[$руб.-419];[Red]&quot;-&quot;#,##0.00&quot; &quot;[$руб.-419]"/>
    <numFmt numFmtId="166" formatCode="[$-419]General"/>
  </numFmts>
  <fonts count="39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00"/>
      <name val="Calibri"/>
      <family val="2"/>
    </font>
    <font>
      <b/>
      <sz val="11"/>
      <color rgb="FFFF66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333399"/>
      <name val="Calibri"/>
      <family val="2"/>
    </font>
    <font>
      <b/>
      <sz val="13"/>
      <color rgb="FF333399"/>
      <name val="Calibri"/>
      <family val="2"/>
    </font>
    <font>
      <b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6600"/>
      <name val="Calibri"/>
      <family val="2"/>
    </font>
    <font>
      <sz val="11"/>
      <color rgb="FF808000"/>
      <name val="Calibri"/>
      <family val="2"/>
    </font>
    <font>
      <b/>
      <sz val="11"/>
      <color rgb="FF333333"/>
      <name val="Calibri"/>
      <family val="2"/>
    </font>
    <font>
      <b/>
      <sz val="18"/>
      <color rgb="FF333399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i/>
      <sz val="16"/>
      <color theme="1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0"/>
      <color theme="1"/>
      <name val="Arial"/>
      <family val="2"/>
    </font>
    <font>
      <sz val="10"/>
      <color theme="1"/>
      <name val="Arial Cyr"/>
      <family val="2"/>
    </font>
    <font>
      <sz val="10"/>
      <color theme="1"/>
      <name val="Arial Cyr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666699"/>
        <bgColor rgb="FF666699"/>
      </patternFill>
    </fill>
    <fill>
      <patternFill patternType="solid">
        <fgColor rgb="FF993366"/>
        <bgColor rgb="FF993366"/>
      </patternFill>
    </fill>
    <fill>
      <patternFill patternType="solid">
        <fgColor rgb="FF969696"/>
        <bgColor rgb="FF969696"/>
      </patternFill>
    </fill>
    <fill>
      <patternFill patternType="solid">
        <fgColor rgb="FF33CCCC"/>
        <bgColor rgb="FF33CCCC"/>
      </patternFill>
    </fill>
    <fill>
      <patternFill patternType="solid">
        <fgColor rgb="FFFF99CC"/>
        <bgColor rgb="FFFF99CC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B0E0E6"/>
        <bgColor rgb="FFB0E0E6"/>
      </patternFill>
    </fill>
    <fill>
      <patternFill patternType="solid">
        <fgColor rgb="FFFAF0E6"/>
        <bgColor rgb="FFFAF0E6"/>
      </patternFill>
    </fill>
    <fill>
      <patternFill patternType="solid">
        <fgColor rgb="FF7FFFD4"/>
        <bgColor rgb="FF7FFFD4"/>
      </patternFill>
    </fill>
    <fill>
      <patternFill patternType="solid">
        <fgColor rgb="FFFFF0F5"/>
        <bgColor rgb="FFFFF0F5"/>
      </patternFill>
    </fill>
    <fill>
      <patternFill patternType="solid">
        <fgColor rgb="FFFFE4E1"/>
        <bgColor rgb="FFFFE4E1"/>
      </patternFill>
    </fill>
    <fill>
      <patternFill patternType="solid">
        <fgColor rgb="FFFFFF00"/>
        <bgColor rgb="FFFFFF00"/>
      </patternFill>
    </fill>
    <fill>
      <patternFill patternType="solid">
        <fgColor rgb="FFFF4500"/>
        <bgColor rgb="FFFF4500"/>
      </patternFill>
    </fill>
    <fill>
      <patternFill patternType="solid">
        <fgColor rgb="FFFAEBD7"/>
        <bgColor rgb="FFFAEBD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4">
    <xf numFmtId="0" fontId="0" fillId="0" borderId="0"/>
    <xf numFmtId="0" fontId="25" fillId="0" borderId="0">
      <alignment horizontal="center" textRotation="90"/>
    </xf>
    <xf numFmtId="0" fontId="26" fillId="0" borderId="0">
      <alignment horizontal="center"/>
    </xf>
    <xf numFmtId="0" fontId="24" fillId="11" borderId="0"/>
    <xf numFmtId="0" fontId="4" fillId="5" borderId="0"/>
    <xf numFmtId="0" fontId="28" fillId="8" borderId="0"/>
    <xf numFmtId="0" fontId="29" fillId="8" borderId="7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5" fillId="6" borderId="0"/>
    <xf numFmtId="0" fontId="6" fillId="7" borderId="0"/>
    <xf numFmtId="0" fontId="6" fillId="8" borderId="0"/>
    <xf numFmtId="0" fontId="6" fillId="8" borderId="0"/>
    <xf numFmtId="0" fontId="6" fillId="7" borderId="0"/>
    <xf numFmtId="0" fontId="6" fillId="9" borderId="0"/>
    <xf numFmtId="0" fontId="6" fillId="8" borderId="0"/>
    <xf numFmtId="0" fontId="6" fillId="7" borderId="0"/>
    <xf numFmtId="0" fontId="6" fillId="10" borderId="0"/>
    <xf numFmtId="0" fontId="6" fillId="11" borderId="0"/>
    <xf numFmtId="0" fontId="6" fillId="10" borderId="0"/>
    <xf numFmtId="0" fontId="6" fillId="7" borderId="0"/>
    <xf numFmtId="0" fontId="6" fillId="12" borderId="0"/>
    <xf numFmtId="0" fontId="7" fillId="13" borderId="0"/>
    <xf numFmtId="0" fontId="7" fillId="14" borderId="0"/>
    <xf numFmtId="0" fontId="7" fillId="10" borderId="0"/>
    <xf numFmtId="0" fontId="7" fillId="10" borderId="0"/>
    <xf numFmtId="0" fontId="7" fillId="13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5" borderId="0"/>
    <xf numFmtId="0" fontId="7" fillId="18" borderId="0"/>
    <xf numFmtId="0" fontId="7" fillId="14" borderId="0"/>
    <xf numFmtId="0" fontId="8" fillId="19" borderId="0"/>
    <xf numFmtId="0" fontId="9" fillId="20" borderId="1"/>
    <xf numFmtId="0" fontId="10" fillId="17" borderId="2"/>
    <xf numFmtId="0" fontId="11" fillId="0" borderId="0"/>
    <xf numFmtId="0" fontId="12" fillId="11" borderId="0"/>
    <xf numFmtId="0" fontId="13" fillId="0" borderId="3"/>
    <xf numFmtId="0" fontId="14" fillId="0" borderId="3"/>
    <xf numFmtId="0" fontId="15" fillId="0" borderId="4"/>
    <xf numFmtId="0" fontId="15" fillId="0" borderId="0"/>
    <xf numFmtId="0" fontId="16" fillId="12" borderId="1"/>
    <xf numFmtId="0" fontId="17" fillId="0" borderId="5"/>
    <xf numFmtId="0" fontId="18" fillId="21" borderId="0"/>
    <xf numFmtId="0" fontId="1" fillId="8" borderId="1"/>
    <xf numFmtId="0" fontId="19" fillId="20" borderId="1"/>
    <xf numFmtId="0" fontId="20" fillId="0" borderId="0"/>
    <xf numFmtId="0" fontId="21" fillId="0" borderId="6"/>
    <xf numFmtId="0" fontId="22" fillId="0" borderId="0"/>
    <xf numFmtId="0" fontId="23" fillId="0" borderId="0"/>
    <xf numFmtId="0" fontId="25" fillId="0" borderId="0">
      <alignment horizontal="center"/>
    </xf>
    <xf numFmtId="0" fontId="27" fillId="0" borderId="0"/>
    <xf numFmtId="0" fontId="30" fillId="0" borderId="0"/>
    <xf numFmtId="165" fontId="30" fillId="0" borderId="0"/>
    <xf numFmtId="0" fontId="1" fillId="0" borderId="0"/>
    <xf numFmtId="0" fontId="1" fillId="0" borderId="0"/>
    <xf numFmtId="0" fontId="4" fillId="0" borderId="0"/>
    <xf numFmtId="0" fontId="31" fillId="0" borderId="0"/>
    <xf numFmtId="166" fontId="32" fillId="0" borderId="0"/>
  </cellStyleXfs>
  <cellXfs count="48">
    <xf numFmtId="0" fontId="0" fillId="0" borderId="0" xfId="0"/>
    <xf numFmtId="164" fontId="33" fillId="0" borderId="1" xfId="0" applyNumberFormat="1" applyFont="1" applyFill="1" applyBorder="1"/>
    <xf numFmtId="0" fontId="33" fillId="0" borderId="1" xfId="0" applyFont="1" applyFill="1" applyBorder="1" applyAlignment="1">
      <alignment horizontal="center"/>
    </xf>
    <xf numFmtId="0" fontId="34" fillId="0" borderId="0" xfId="0" applyFont="1" applyFill="1"/>
    <xf numFmtId="0" fontId="34" fillId="0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34" fillId="24" borderId="1" xfId="0" applyFont="1" applyFill="1" applyBorder="1" applyAlignment="1">
      <alignment horizontal="center" vertical="center" wrapText="1"/>
    </xf>
    <xf numFmtId="0" fontId="34" fillId="0" borderId="0" xfId="0" applyFont="1" applyFill="1" applyAlignment="1">
      <alignment vertical="center"/>
    </xf>
    <xf numFmtId="0" fontId="36" fillId="2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37" fillId="0" borderId="1" xfId="0" applyFont="1" applyFill="1" applyBorder="1" applyAlignment="1">
      <alignment vertical="center"/>
    </xf>
    <xf numFmtId="0" fontId="37" fillId="0" borderId="1" xfId="0" applyFont="1" applyFill="1" applyBorder="1" applyAlignment="1">
      <alignment horizontal="center" vertical="center"/>
    </xf>
    <xf numFmtId="0" fontId="37" fillId="23" borderId="1" xfId="0" applyFont="1" applyFill="1" applyBorder="1" applyAlignment="1">
      <alignment horizontal="center" vertical="center"/>
    </xf>
    <xf numFmtId="0" fontId="37" fillId="24" borderId="1" xfId="0" applyFont="1" applyFill="1" applyBorder="1" applyAlignment="1">
      <alignment horizontal="center" vertical="center"/>
    </xf>
    <xf numFmtId="0" fontId="37" fillId="25" borderId="1" xfId="0" applyFont="1" applyFill="1" applyBorder="1" applyAlignment="1">
      <alignment horizontal="center" vertical="center"/>
    </xf>
    <xf numFmtId="0" fontId="37" fillId="22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left" vertical="center"/>
    </xf>
    <xf numFmtId="0" fontId="38" fillId="0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38" fillId="24" borderId="1" xfId="0" applyFont="1" applyFill="1" applyBorder="1" applyAlignment="1">
      <alignment horizontal="center" vertical="center"/>
    </xf>
    <xf numFmtId="0" fontId="38" fillId="25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vertical="center"/>
    </xf>
    <xf numFmtId="0" fontId="38" fillId="26" borderId="1" xfId="0" applyFont="1" applyFill="1" applyBorder="1" applyAlignment="1">
      <alignment horizontal="center" vertical="center"/>
    </xf>
    <xf numFmtId="0" fontId="38" fillId="22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 wrapText="1"/>
    </xf>
    <xf numFmtId="0" fontId="33" fillId="0" borderId="0" xfId="0" applyFont="1" applyFill="1" applyAlignment="1">
      <alignment vertical="center"/>
    </xf>
    <xf numFmtId="0" fontId="38" fillId="0" borderId="1" xfId="0" applyFont="1" applyFill="1" applyBorder="1" applyAlignment="1">
      <alignment vertical="center" wrapText="1"/>
    </xf>
    <xf numFmtId="0" fontId="38" fillId="0" borderId="0" xfId="0" applyFont="1" applyFill="1" applyBorder="1"/>
    <xf numFmtId="0" fontId="38" fillId="0" borderId="0" xfId="0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/>
    </xf>
    <xf numFmtId="0" fontId="37" fillId="0" borderId="0" xfId="0" applyFont="1" applyFill="1" applyBorder="1"/>
    <xf numFmtId="0" fontId="37" fillId="0" borderId="0" xfId="0" applyFont="1" applyFill="1" applyBorder="1" applyAlignment="1">
      <alignment horizontal="center"/>
    </xf>
    <xf numFmtId="0" fontId="34" fillId="0" borderId="0" xfId="0" applyFont="1" applyFill="1" applyAlignment="1">
      <alignment horizontal="center"/>
    </xf>
    <xf numFmtId="164" fontId="33" fillId="0" borderId="1" xfId="0" applyNumberFormat="1" applyFont="1" applyFill="1" applyBorder="1" applyAlignment="1">
      <alignment horizontal="left" vertical="center"/>
    </xf>
    <xf numFmtId="0" fontId="33" fillId="2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34" fillId="0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34" fillId="24" borderId="1" xfId="0" applyFont="1" applyFill="1" applyBorder="1" applyAlignment="1">
      <alignment horizontal="center" vertical="center" wrapText="1"/>
    </xf>
    <xf numFmtId="0" fontId="34" fillId="25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0" fontId="38" fillId="27" borderId="1" xfId="0" applyFont="1" applyFill="1" applyBorder="1" applyAlignment="1">
      <alignment horizontal="center" vertical="center"/>
    </xf>
    <xf numFmtId="0" fontId="38" fillId="28" borderId="1" xfId="0" applyFont="1" applyFill="1" applyBorder="1" applyAlignment="1">
      <alignment horizontal="center" vertical="center"/>
    </xf>
    <xf numFmtId="0" fontId="38" fillId="29" borderId="1" xfId="0" applyFont="1" applyFill="1" applyBorder="1" applyAlignment="1">
      <alignment horizontal="center" vertical="center"/>
    </xf>
    <xf numFmtId="0" fontId="38" fillId="23" borderId="1" xfId="0" applyFont="1" applyFill="1" applyBorder="1" applyAlignment="1">
      <alignment horizontal="center" vertical="center"/>
    </xf>
  </cellXfs>
  <cellStyles count="64">
    <cellStyle name="Accent" xfId="7" xr:uid="{4F41B36F-904B-F744-A5EE-F8CBF2424280}"/>
    <cellStyle name="Accent 1" xfId="8" xr:uid="{21F3C317-EB92-E442-B80A-D1F72EA208D9}"/>
    <cellStyle name="Accent 2" xfId="9" xr:uid="{7FB2F3A7-595A-354B-9A97-A27F16134946}"/>
    <cellStyle name="Accent 3" xfId="10" xr:uid="{6D39CBA0-2F00-6249-B9C5-023B33DED9C3}"/>
    <cellStyle name="Bad" xfId="4" builtinId="27" customBuiltin="1"/>
    <cellStyle name="Default" xfId="11" xr:uid="{B147EC59-D299-B547-A9DA-7E6FE3198FEB}"/>
    <cellStyle name="Error" xfId="12" xr:uid="{0B81CDD6-C3E4-8F49-9827-F2523E93B6D4}"/>
    <cellStyle name="Excel Built-in 20% - Accent1" xfId="13" xr:uid="{FCC8AD4B-2513-A148-8C9A-2A09B02F36E0}"/>
    <cellStyle name="Excel Built-in 20% - Accent2" xfId="14" xr:uid="{C5AE5595-8792-0348-8CAA-979D4599A2C6}"/>
    <cellStyle name="Excel Built-in 20% - Accent3" xfId="15" xr:uid="{9AA9C886-2F34-8149-BC11-9F19AFE3D936}"/>
    <cellStyle name="Excel Built-in 20% - Accent4" xfId="16" xr:uid="{404CB17C-A874-2148-8E04-EF5D8B260673}"/>
    <cellStyle name="Excel Built-in 20% - Accent5" xfId="17" xr:uid="{B0F517D0-D1D2-8B4F-95D0-49024AB95E39}"/>
    <cellStyle name="Excel Built-in 20% - Accent6" xfId="18" xr:uid="{BD9B42F5-604C-3D47-BA20-B8A70C9E7E05}"/>
    <cellStyle name="Excel Built-in 40% - Accent1" xfId="19" xr:uid="{00CDC2B7-5B89-2543-AF82-512D029D0060}"/>
    <cellStyle name="Excel Built-in 40% - Accent2" xfId="20" xr:uid="{3D55B6A4-15B9-6049-9959-F9D5C347EE2A}"/>
    <cellStyle name="Excel Built-in 40% - Accent3" xfId="21" xr:uid="{5E3130EA-874B-D94E-971A-5E8C615064C2}"/>
    <cellStyle name="Excel Built-in 40% - Accent4" xfId="22" xr:uid="{B0F52E39-F0E5-4943-9B45-EC8BAC24F733}"/>
    <cellStyle name="Excel Built-in 40% - Accent5" xfId="23" xr:uid="{F025D0A6-5D96-B14F-8F03-5388B99DA697}"/>
    <cellStyle name="Excel Built-in 40% - Accent6" xfId="24" xr:uid="{7C00BEDD-3B3F-BC48-9B52-26A8DFAD88F5}"/>
    <cellStyle name="Excel Built-in 60% - Accent1" xfId="25" xr:uid="{B8A84B74-5FC8-B04F-81BF-7F034B31E689}"/>
    <cellStyle name="Excel Built-in 60% - Accent2" xfId="26" xr:uid="{6A78825E-E9AF-1540-A129-FA5C914E46BE}"/>
    <cellStyle name="Excel Built-in 60% - Accent3" xfId="27" xr:uid="{62BA9852-1541-D143-A6DC-FD3D41AC66A9}"/>
    <cellStyle name="Excel Built-in 60% - Accent4" xfId="28" xr:uid="{456E619E-4925-A74C-AE3C-885E9A48340B}"/>
    <cellStyle name="Excel Built-in 60% - Accent5" xfId="29" xr:uid="{B23F1E16-D52B-AB49-92F2-1351B80A0A84}"/>
    <cellStyle name="Excel Built-in 60% - Accent6" xfId="30" xr:uid="{429C421C-326A-364B-BB87-AF1730668E66}"/>
    <cellStyle name="Excel Built-in Accent1" xfId="31" xr:uid="{8978EC86-9C55-D847-979A-4D215BB62C5E}"/>
    <cellStyle name="Excel Built-in Accent2" xfId="32" xr:uid="{DB1E30AF-816D-3945-8EDD-52EADB0E006D}"/>
    <cellStyle name="Excel Built-in Accent3" xfId="33" xr:uid="{35D36068-717B-184F-8938-9A4A91429B20}"/>
    <cellStyle name="Excel Built-in Accent4" xfId="34" xr:uid="{E150E6D1-35B0-214B-B4C6-FAF7EC0B8CE8}"/>
    <cellStyle name="Excel Built-in Accent5" xfId="35" xr:uid="{FA48DF41-D0CC-F045-BD00-E8B8C48AB036}"/>
    <cellStyle name="Excel Built-in Accent6" xfId="36" xr:uid="{875F9B43-EC04-D04C-940B-D3131EB9CFD1}"/>
    <cellStyle name="Excel Built-in Bad" xfId="37" xr:uid="{4E156BA1-7C0E-9142-BB65-EF62937ABF67}"/>
    <cellStyle name="Excel Built-in Calculation" xfId="38" xr:uid="{252DD91E-64A1-B14E-9C4E-F8EFD4F9B747}"/>
    <cellStyle name="Excel Built-in Check Cell" xfId="39" xr:uid="{B69A52B1-B38F-464C-B2D4-ECF0B69906D5}"/>
    <cellStyle name="Excel Built-in Explanatory Text" xfId="40" xr:uid="{74C05974-7CF2-CA42-8DBC-D02424E088D2}"/>
    <cellStyle name="Excel Built-in Good" xfId="41" xr:uid="{0CF52EAA-5E55-214A-86B0-145066463114}"/>
    <cellStyle name="Excel Built-in Heading 1" xfId="42" xr:uid="{262E3526-9298-CD4A-9A92-39554E47DDAF}"/>
    <cellStyle name="Excel Built-in Heading 2" xfId="43" xr:uid="{98BFB935-D9AD-EC4D-BAC0-544F0E0B86D7}"/>
    <cellStyle name="Excel Built-in Heading 3" xfId="44" xr:uid="{E55ECF26-4907-8F49-8FAC-23A0097BBA00}"/>
    <cellStyle name="Excel Built-in Heading 4" xfId="45" xr:uid="{B1241518-3F97-B44D-ACC4-E8E1F9997204}"/>
    <cellStyle name="Excel Built-in Input" xfId="46" xr:uid="{59D6EE19-8EFB-634B-9111-416374F00252}"/>
    <cellStyle name="Excel Built-in Linked Cell" xfId="47" xr:uid="{CBB3A678-8C3F-984C-A52F-87C0D443D587}"/>
    <cellStyle name="Excel Built-in Neutral" xfId="48" xr:uid="{39D81C65-80F3-8B49-A89D-82DF2683D387}"/>
    <cellStyle name="Excel Built-in Note" xfId="49" xr:uid="{4EC3C348-0627-3642-ABB8-F58299BCC01C}"/>
    <cellStyle name="Excel Built-in Output" xfId="50" xr:uid="{81C53E65-15B8-184D-8134-B442D8A4B2AB}"/>
    <cellStyle name="Excel Built-in Title" xfId="51" xr:uid="{0073B0D8-553A-FE4C-8836-0F0B1A60CD3C}"/>
    <cellStyle name="Excel Built-in Total" xfId="52" xr:uid="{11CC7987-76FD-7C45-ADB7-663F0CC8A44F}"/>
    <cellStyle name="Excel Built-in Warning Text" xfId="53" xr:uid="{C758174A-3BC7-AD4F-968D-F994FA1323B2}"/>
    <cellStyle name="Footnote" xfId="54" xr:uid="{832CDB71-A595-0D4C-A70D-B5F147DAE389}"/>
    <cellStyle name="Good" xfId="3" builtinId="26" customBuiltin="1"/>
    <cellStyle name="Heading" xfId="55" xr:uid="{40E1B27D-0B54-2142-AF18-51403549A094}"/>
    <cellStyle name="Heading 1" xfId="1" builtinId="16" customBuiltin="1"/>
    <cellStyle name="Heading 2" xfId="2" builtinId="17" customBuiltin="1"/>
    <cellStyle name="Hyperlink" xfId="56" xr:uid="{1FAC875B-9048-834D-9DE2-89DFAEFE32BA}"/>
    <cellStyle name="Neutral" xfId="5" builtinId="28" customBuiltin="1"/>
    <cellStyle name="Normal" xfId="0" builtinId="0" customBuiltin="1"/>
    <cellStyle name="Note" xfId="6" builtinId="10" customBuiltin="1"/>
    <cellStyle name="Result" xfId="57" xr:uid="{73CB1960-6E18-CB49-91AB-30CB8716C980}"/>
    <cellStyle name="Result2" xfId="58" xr:uid="{6E919D94-556D-424E-B207-34C379E847CD}"/>
    <cellStyle name="Status" xfId="59" xr:uid="{D98D0A5B-8B23-1045-B96B-2354F539FC48}"/>
    <cellStyle name="Text" xfId="60" xr:uid="{EBDE7099-32D7-1849-968B-A7854AB1FE72}"/>
    <cellStyle name="Warning" xfId="61" xr:uid="{E5B8548F-DA69-F541-AAB0-B16CC5559693}"/>
    <cellStyle name="Обычный 2" xfId="62" xr:uid="{7549BE55-F6E8-2645-BD0F-FDB097C7F6BB}"/>
    <cellStyle name="Обычный 3" xfId="63" xr:uid="{71580E42-1BDB-174A-89EA-DFA6156D09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9706-7A92-DB4B-BA3F-8CB60D2B6094}">
  <sheetPr>
    <tabColor rgb="FF00FFFF"/>
  </sheetPr>
  <dimension ref="A1:XFD37"/>
  <sheetViews>
    <sheetView tabSelected="1" workbookViewId="0">
      <selection sqref="A1:N1"/>
    </sheetView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68" style="34" customWidth="1"/>
    <col min="28" max="28" width="17" style="3" customWidth="1"/>
    <col min="29" max="29" width="17.16406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15</v>
      </c>
      <c r="F3" s="5" t="s">
        <v>14</v>
      </c>
      <c r="G3" s="7" t="s">
        <v>7</v>
      </c>
      <c r="H3" s="5" t="s">
        <v>15</v>
      </c>
      <c r="I3" s="5" t="s">
        <v>14</v>
      </c>
      <c r="J3" s="5" t="s">
        <v>16</v>
      </c>
      <c r="K3" s="5" t="s">
        <v>15</v>
      </c>
      <c r="L3" s="5" t="s">
        <v>14</v>
      </c>
      <c r="M3" s="5" t="s">
        <v>17</v>
      </c>
      <c r="N3" s="5" t="s">
        <v>15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147</v>
      </c>
      <c r="D4" s="14">
        <f t="shared" si="0"/>
        <v>156</v>
      </c>
      <c r="E4" s="13">
        <f t="shared" si="0"/>
        <v>9</v>
      </c>
      <c r="F4" s="13">
        <f t="shared" si="0"/>
        <v>136</v>
      </c>
      <c r="G4" s="15">
        <f t="shared" si="0"/>
        <v>144</v>
      </c>
      <c r="H4" s="13">
        <f t="shared" si="0"/>
        <v>8</v>
      </c>
      <c r="I4" s="13">
        <f t="shared" si="0"/>
        <v>42</v>
      </c>
      <c r="J4" s="13">
        <f t="shared" si="0"/>
        <v>45</v>
      </c>
      <c r="K4" s="13">
        <f t="shared" si="0"/>
        <v>3</v>
      </c>
      <c r="L4" s="13">
        <f t="shared" si="0"/>
        <v>94</v>
      </c>
      <c r="M4" s="13">
        <f t="shared" si="0"/>
        <v>99</v>
      </c>
      <c r="N4" s="13">
        <f t="shared" si="0"/>
        <v>5</v>
      </c>
      <c r="O4" s="16">
        <f t="shared" si="0"/>
        <v>13</v>
      </c>
      <c r="P4" s="16">
        <f t="shared" si="0"/>
        <v>1</v>
      </c>
      <c r="Q4" s="17">
        <f t="shared" si="0"/>
        <v>65</v>
      </c>
      <c r="R4" s="13">
        <f t="shared" si="0"/>
        <v>25</v>
      </c>
      <c r="S4" s="13">
        <f t="shared" si="0"/>
        <v>5</v>
      </c>
      <c r="T4" s="13">
        <f t="shared" si="0"/>
        <v>7</v>
      </c>
      <c r="U4" s="13">
        <f t="shared" si="0"/>
        <v>9</v>
      </c>
      <c r="V4" s="13">
        <f t="shared" si="0"/>
        <v>25</v>
      </c>
      <c r="W4" s="13">
        <f t="shared" si="0"/>
        <v>31</v>
      </c>
      <c r="X4" s="13">
        <f t="shared" si="0"/>
        <v>6</v>
      </c>
      <c r="Y4" s="13">
        <f t="shared" si="0"/>
        <v>44</v>
      </c>
      <c r="Z4" s="13">
        <f t="shared" si="0"/>
        <v>15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18</v>
      </c>
      <c r="D6" s="24">
        <v>20</v>
      </c>
      <c r="E6" s="19">
        <f t="shared" ref="E6:E27" si="1">D6-C6</f>
        <v>2</v>
      </c>
      <c r="F6" s="19">
        <v>20</v>
      </c>
      <c r="G6" s="21">
        <v>23</v>
      </c>
      <c r="H6" s="19">
        <f t="shared" ref="H6:H27" si="2">G6-F6</f>
        <v>3</v>
      </c>
      <c r="I6" s="19">
        <v>8</v>
      </c>
      <c r="J6" s="19">
        <v>8</v>
      </c>
      <c r="K6" s="19">
        <f t="shared" ref="K6:K27" si="3">J6-I6</f>
        <v>0</v>
      </c>
      <c r="L6" s="19">
        <f t="shared" ref="L6:L27" si="4">F6-I6</f>
        <v>12</v>
      </c>
      <c r="M6" s="19">
        <f t="shared" ref="M6:M27" si="5">G6-J6</f>
        <v>15</v>
      </c>
      <c r="N6" s="19">
        <f t="shared" ref="N6:N27" si="6">M6-L6</f>
        <v>3</v>
      </c>
      <c r="O6" s="22"/>
      <c r="P6" s="22"/>
      <c r="Q6" s="25">
        <v>4</v>
      </c>
      <c r="R6" s="19">
        <v>1</v>
      </c>
      <c r="S6" s="19">
        <v>0</v>
      </c>
      <c r="T6" s="19">
        <v>2</v>
      </c>
      <c r="U6" s="19">
        <v>2</v>
      </c>
      <c r="V6" s="19">
        <v>2</v>
      </c>
      <c r="W6" s="19">
        <v>0</v>
      </c>
      <c r="X6" s="19">
        <v>0</v>
      </c>
      <c r="Y6" s="19">
        <v>4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8</v>
      </c>
      <c r="G7" s="21">
        <v>8</v>
      </c>
      <c r="H7" s="19">
        <f t="shared" si="2"/>
        <v>0</v>
      </c>
      <c r="I7" s="19">
        <v>4</v>
      </c>
      <c r="J7" s="19">
        <v>4</v>
      </c>
      <c r="K7" s="19">
        <f t="shared" si="3"/>
        <v>0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1</v>
      </c>
      <c r="R7" s="19">
        <v>0</v>
      </c>
      <c r="S7" s="19">
        <v>1</v>
      </c>
      <c r="T7" s="19">
        <v>0</v>
      </c>
      <c r="U7" s="19">
        <v>0</v>
      </c>
      <c r="V7" s="19">
        <v>0</v>
      </c>
      <c r="W7" s="19">
        <v>1</v>
      </c>
      <c r="X7" s="19">
        <v>0</v>
      </c>
      <c r="Y7" s="19">
        <v>1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10</v>
      </c>
      <c r="D8" s="24">
        <v>12</v>
      </c>
      <c r="E8" s="19">
        <f t="shared" si="1"/>
        <v>2</v>
      </c>
      <c r="F8" s="19">
        <v>6</v>
      </c>
      <c r="G8" s="21">
        <v>8</v>
      </c>
      <c r="H8" s="19">
        <f t="shared" si="2"/>
        <v>2</v>
      </c>
      <c r="I8" s="19">
        <v>0</v>
      </c>
      <c r="J8" s="19">
        <v>1</v>
      </c>
      <c r="K8" s="19">
        <f t="shared" si="3"/>
        <v>1</v>
      </c>
      <c r="L8" s="19">
        <f t="shared" si="4"/>
        <v>6</v>
      </c>
      <c r="M8" s="19">
        <f t="shared" si="5"/>
        <v>7</v>
      </c>
      <c r="N8" s="19">
        <f t="shared" si="6"/>
        <v>1</v>
      </c>
      <c r="O8" s="22"/>
      <c r="P8" s="22"/>
      <c r="Q8" s="25">
        <v>8</v>
      </c>
      <c r="R8" s="19">
        <v>5</v>
      </c>
      <c r="S8" s="19">
        <v>0</v>
      </c>
      <c r="T8" s="19">
        <v>2</v>
      </c>
      <c r="U8" s="19">
        <v>1</v>
      </c>
      <c r="V8" s="19">
        <v>3</v>
      </c>
      <c r="W8" s="19">
        <v>4</v>
      </c>
      <c r="X8" s="19">
        <v>1</v>
      </c>
      <c r="Y8" s="19">
        <v>6</v>
      </c>
      <c r="Z8" s="4">
        <v>1</v>
      </c>
      <c r="AA8" s="26"/>
    </row>
    <row r="9" spans="1:27" s="8" customFormat="1" ht="17" customHeight="1">
      <c r="A9" s="23" t="s">
        <v>32</v>
      </c>
      <c r="B9" s="19">
        <v>2</v>
      </c>
      <c r="C9" s="19">
        <v>7</v>
      </c>
      <c r="D9" s="24">
        <v>7</v>
      </c>
      <c r="E9" s="19">
        <f t="shared" si="1"/>
        <v>0</v>
      </c>
      <c r="F9" s="19">
        <v>5</v>
      </c>
      <c r="G9" s="21">
        <v>5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5</v>
      </c>
      <c r="M9" s="19">
        <f t="shared" si="5"/>
        <v>5</v>
      </c>
      <c r="N9" s="19">
        <f t="shared" si="6"/>
        <v>0</v>
      </c>
      <c r="O9" s="22"/>
      <c r="P9" s="22"/>
      <c r="Q9" s="25">
        <v>4</v>
      </c>
      <c r="R9" s="19">
        <v>2</v>
      </c>
      <c r="S9" s="19">
        <v>1</v>
      </c>
      <c r="T9" s="19">
        <v>0</v>
      </c>
      <c r="U9" s="19">
        <v>0</v>
      </c>
      <c r="V9" s="19">
        <v>2</v>
      </c>
      <c r="W9" s="19">
        <v>2</v>
      </c>
      <c r="X9" s="19">
        <v>1</v>
      </c>
      <c r="Y9" s="19">
        <v>3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3</v>
      </c>
      <c r="D10" s="24">
        <v>3</v>
      </c>
      <c r="E10" s="19">
        <f t="shared" si="1"/>
        <v>0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1</v>
      </c>
      <c r="R10" s="19">
        <v>1</v>
      </c>
      <c r="S10" s="19">
        <v>0</v>
      </c>
      <c r="T10" s="19">
        <v>0</v>
      </c>
      <c r="U10" s="19">
        <v>0</v>
      </c>
      <c r="V10" s="19">
        <v>0</v>
      </c>
      <c r="W10" s="19">
        <v>1</v>
      </c>
      <c r="X10" s="19">
        <v>0</v>
      </c>
      <c r="Y10" s="19">
        <v>1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1</v>
      </c>
      <c r="D11" s="24">
        <v>1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>
        <v>2</v>
      </c>
      <c r="P11" s="22"/>
      <c r="Q11" s="25">
        <v>1</v>
      </c>
      <c r="R11" s="19">
        <v>0</v>
      </c>
      <c r="S11" s="19">
        <v>0</v>
      </c>
      <c r="T11" s="19">
        <v>0</v>
      </c>
      <c r="U11" s="19">
        <v>0</v>
      </c>
      <c r="V11" s="19">
        <v>1</v>
      </c>
      <c r="W11" s="19">
        <v>0</v>
      </c>
      <c r="X11" s="19">
        <v>1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3</v>
      </c>
      <c r="G13" s="21">
        <v>3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2</v>
      </c>
      <c r="M13" s="19">
        <f t="shared" si="5"/>
        <v>2</v>
      </c>
      <c r="N13" s="19">
        <f t="shared" si="6"/>
        <v>0</v>
      </c>
      <c r="O13" s="22"/>
      <c r="P13" s="22"/>
      <c r="Q13" s="25">
        <v>1</v>
      </c>
      <c r="R13" s="19">
        <v>1</v>
      </c>
      <c r="S13" s="19">
        <v>0</v>
      </c>
      <c r="T13" s="19">
        <v>0</v>
      </c>
      <c r="U13" s="19">
        <v>0</v>
      </c>
      <c r="V13" s="19">
        <v>1</v>
      </c>
      <c r="W13" s="19">
        <v>0</v>
      </c>
      <c r="X13" s="19">
        <v>0</v>
      </c>
      <c r="Y13" s="19">
        <v>1</v>
      </c>
      <c r="Z13" s="19">
        <v>0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3</v>
      </c>
      <c r="D14" s="24">
        <v>3</v>
      </c>
      <c r="E14" s="19">
        <f t="shared" si="1"/>
        <v>0</v>
      </c>
      <c r="F14" s="19">
        <v>4</v>
      </c>
      <c r="G14" s="21">
        <v>4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4</v>
      </c>
      <c r="M14" s="19">
        <f t="shared" si="5"/>
        <v>4</v>
      </c>
      <c r="N14" s="19">
        <f t="shared" si="6"/>
        <v>0</v>
      </c>
      <c r="O14" s="22"/>
      <c r="P14" s="22"/>
      <c r="Q14" s="25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3</v>
      </c>
      <c r="D15" s="24">
        <v>3</v>
      </c>
      <c r="E15" s="19">
        <f t="shared" si="1"/>
        <v>0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1</v>
      </c>
      <c r="X15" s="19">
        <v>0</v>
      </c>
      <c r="Y15" s="19">
        <v>1</v>
      </c>
      <c r="Z15" s="19">
        <v>1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5</v>
      </c>
      <c r="G16" s="21">
        <v>5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5</v>
      </c>
      <c r="M16" s="19">
        <f t="shared" si="5"/>
        <v>5</v>
      </c>
      <c r="N16" s="19">
        <f t="shared" si="6"/>
        <v>0</v>
      </c>
      <c r="O16" s="22">
        <v>1</v>
      </c>
      <c r="P16" s="22">
        <v>0</v>
      </c>
      <c r="Q16" s="25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3</v>
      </c>
      <c r="D17" s="24">
        <v>3</v>
      </c>
      <c r="E17" s="19">
        <f t="shared" si="1"/>
        <v>0</v>
      </c>
      <c r="F17" s="19">
        <v>2</v>
      </c>
      <c r="G17" s="21">
        <v>2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2</v>
      </c>
      <c r="M17" s="19">
        <f t="shared" si="5"/>
        <v>2</v>
      </c>
      <c r="N17" s="19">
        <f t="shared" si="6"/>
        <v>0</v>
      </c>
      <c r="O17" s="22"/>
      <c r="P17" s="22"/>
      <c r="Q17" s="25">
        <v>2</v>
      </c>
      <c r="R17" s="19">
        <v>1</v>
      </c>
      <c r="S17" s="19">
        <v>0</v>
      </c>
      <c r="T17" s="19">
        <v>0</v>
      </c>
      <c r="U17" s="19">
        <v>1</v>
      </c>
      <c r="V17" s="19">
        <v>1</v>
      </c>
      <c r="W17" s="19">
        <v>0</v>
      </c>
      <c r="X17" s="19">
        <v>0</v>
      </c>
      <c r="Y17" s="19">
        <v>1</v>
      </c>
      <c r="Z17" s="19">
        <v>1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3</v>
      </c>
      <c r="D18" s="24">
        <v>3</v>
      </c>
      <c r="E18" s="19">
        <f t="shared" si="1"/>
        <v>0</v>
      </c>
      <c r="F18" s="19">
        <v>2</v>
      </c>
      <c r="G18" s="21">
        <v>2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2</v>
      </c>
      <c r="M18" s="19">
        <f t="shared" si="5"/>
        <v>2</v>
      </c>
      <c r="N18" s="19">
        <f t="shared" si="6"/>
        <v>0</v>
      </c>
      <c r="O18" s="22">
        <v>2</v>
      </c>
      <c r="P18" s="22"/>
      <c r="Q18" s="25">
        <v>2</v>
      </c>
      <c r="R18" s="19">
        <v>1</v>
      </c>
      <c r="S18" s="19">
        <v>0</v>
      </c>
      <c r="T18" s="19">
        <v>0</v>
      </c>
      <c r="U18" s="19">
        <v>0</v>
      </c>
      <c r="V18" s="19">
        <v>2</v>
      </c>
      <c r="W18" s="19">
        <v>0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>
        <v>1</v>
      </c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7</v>
      </c>
      <c r="D20" s="24">
        <v>7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4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3</v>
      </c>
      <c r="X20" s="19">
        <v>0</v>
      </c>
      <c r="Y20" s="19">
        <v>2</v>
      </c>
      <c r="Z20" s="19">
        <v>2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/>
      <c r="AA21" s="26"/>
    </row>
    <row r="22" spans="1:45" s="8" customFormat="1" ht="17" customHeight="1">
      <c r="A22" s="18" t="s">
        <v>45</v>
      </c>
      <c r="B22" s="19">
        <v>3</v>
      </c>
      <c r="C22" s="19">
        <v>8</v>
      </c>
      <c r="D22" s="24">
        <v>8</v>
      </c>
      <c r="E22" s="19">
        <f t="shared" si="1"/>
        <v>0</v>
      </c>
      <c r="F22" s="19">
        <v>5</v>
      </c>
      <c r="G22" s="21">
        <v>5</v>
      </c>
      <c r="H22" s="19">
        <f t="shared" si="2"/>
        <v>0</v>
      </c>
      <c r="I22" s="4">
        <v>2</v>
      </c>
      <c r="J22" s="4">
        <v>2</v>
      </c>
      <c r="K22" s="19">
        <f t="shared" si="3"/>
        <v>0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6</v>
      </c>
      <c r="R22" s="19">
        <v>5</v>
      </c>
      <c r="S22" s="19">
        <v>0</v>
      </c>
      <c r="T22" s="19">
        <v>0</v>
      </c>
      <c r="U22" s="19">
        <v>2</v>
      </c>
      <c r="V22" s="4">
        <v>1</v>
      </c>
      <c r="W22" s="19">
        <v>3</v>
      </c>
      <c r="X22" s="19">
        <v>0</v>
      </c>
      <c r="Y22" s="19">
        <v>5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7</v>
      </c>
      <c r="D23" s="24">
        <v>7</v>
      </c>
      <c r="E23" s="19">
        <f t="shared" si="1"/>
        <v>0</v>
      </c>
      <c r="F23" s="19">
        <v>7</v>
      </c>
      <c r="G23" s="21">
        <v>7</v>
      </c>
      <c r="H23" s="19">
        <f t="shared" si="2"/>
        <v>0</v>
      </c>
      <c r="I23" s="19">
        <v>2</v>
      </c>
      <c r="J23" s="19">
        <v>2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2</v>
      </c>
      <c r="P23" s="22">
        <v>1</v>
      </c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v>0</v>
      </c>
      <c r="X23" s="19">
        <v>0</v>
      </c>
      <c r="Y23" s="19">
        <v>2</v>
      </c>
      <c r="Z23" s="4">
        <v>1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29</v>
      </c>
      <c r="D25" s="24">
        <v>31</v>
      </c>
      <c r="E25" s="19">
        <f t="shared" si="1"/>
        <v>2</v>
      </c>
      <c r="F25" s="19">
        <v>30</v>
      </c>
      <c r="G25" s="21">
        <v>31</v>
      </c>
      <c r="H25" s="19">
        <f t="shared" si="2"/>
        <v>1</v>
      </c>
      <c r="I25" s="19">
        <v>8</v>
      </c>
      <c r="J25" s="19">
        <v>8</v>
      </c>
      <c r="K25" s="19">
        <f t="shared" si="3"/>
        <v>0</v>
      </c>
      <c r="L25" s="19">
        <f t="shared" si="4"/>
        <v>22</v>
      </c>
      <c r="M25" s="19">
        <f t="shared" si="5"/>
        <v>23</v>
      </c>
      <c r="N25" s="19">
        <f t="shared" si="6"/>
        <v>1</v>
      </c>
      <c r="O25" s="22">
        <v>4</v>
      </c>
      <c r="P25" s="22"/>
      <c r="Q25" s="25">
        <v>9</v>
      </c>
      <c r="R25" s="19">
        <v>2</v>
      </c>
      <c r="S25" s="19">
        <v>1</v>
      </c>
      <c r="T25" s="19">
        <v>0</v>
      </c>
      <c r="U25" s="19">
        <v>2</v>
      </c>
      <c r="V25" s="19">
        <v>1</v>
      </c>
      <c r="W25" s="19">
        <v>6</v>
      </c>
      <c r="X25" s="19">
        <v>0</v>
      </c>
      <c r="Y25" s="19">
        <v>8</v>
      </c>
      <c r="Z25" s="19">
        <v>1</v>
      </c>
      <c r="AA25" s="26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15</v>
      </c>
      <c r="D26" s="24">
        <v>18</v>
      </c>
      <c r="E26" s="19">
        <f t="shared" si="1"/>
        <v>3</v>
      </c>
      <c r="F26" s="19">
        <v>11</v>
      </c>
      <c r="G26" s="21">
        <v>12</v>
      </c>
      <c r="H26" s="19">
        <f t="shared" si="2"/>
        <v>1</v>
      </c>
      <c r="I26" s="19">
        <v>5</v>
      </c>
      <c r="J26" s="19">
        <v>6</v>
      </c>
      <c r="K26" s="19">
        <f t="shared" si="3"/>
        <v>1</v>
      </c>
      <c r="L26" s="19">
        <f t="shared" si="4"/>
        <v>6</v>
      </c>
      <c r="M26" s="19">
        <f t="shared" si="5"/>
        <v>6</v>
      </c>
      <c r="N26" s="19">
        <f t="shared" si="6"/>
        <v>0</v>
      </c>
      <c r="O26" s="22">
        <v>1</v>
      </c>
      <c r="P26" s="22"/>
      <c r="Q26" s="25">
        <v>9</v>
      </c>
      <c r="R26" s="19">
        <v>1</v>
      </c>
      <c r="S26" s="19">
        <v>1</v>
      </c>
      <c r="T26" s="19">
        <v>3</v>
      </c>
      <c r="U26" s="19">
        <v>0</v>
      </c>
      <c r="V26" s="19">
        <v>3</v>
      </c>
      <c r="W26" s="19">
        <v>6</v>
      </c>
      <c r="X26" s="19">
        <v>2</v>
      </c>
      <c r="Y26" s="19">
        <v>5</v>
      </c>
      <c r="Z26" s="19">
        <v>2</v>
      </c>
      <c r="AA26" s="26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11</v>
      </c>
      <c r="D27" s="24">
        <v>11</v>
      </c>
      <c r="E27" s="19">
        <f t="shared" si="1"/>
        <v>0</v>
      </c>
      <c r="F27" s="19">
        <v>8</v>
      </c>
      <c r="G27" s="21">
        <v>9</v>
      </c>
      <c r="H27" s="19">
        <f t="shared" si="2"/>
        <v>1</v>
      </c>
      <c r="I27" s="19">
        <v>2</v>
      </c>
      <c r="J27" s="19">
        <v>3</v>
      </c>
      <c r="K27" s="19">
        <f t="shared" si="3"/>
        <v>1</v>
      </c>
      <c r="L27" s="19">
        <f t="shared" si="4"/>
        <v>6</v>
      </c>
      <c r="M27" s="19">
        <f t="shared" si="5"/>
        <v>6</v>
      </c>
      <c r="N27" s="19">
        <f t="shared" si="6"/>
        <v>0</v>
      </c>
      <c r="O27" s="22"/>
      <c r="P27" s="22"/>
      <c r="Q27" s="25">
        <v>5</v>
      </c>
      <c r="R27" s="19">
        <v>3</v>
      </c>
      <c r="S27" s="19">
        <v>0</v>
      </c>
      <c r="T27" s="19">
        <v>0</v>
      </c>
      <c r="U27" s="19">
        <v>0</v>
      </c>
      <c r="V27" s="19">
        <v>1</v>
      </c>
      <c r="W27" s="19">
        <v>4</v>
      </c>
      <c r="X27" s="19">
        <v>1</v>
      </c>
      <c r="Y27" s="19">
        <v>0</v>
      </c>
      <c r="Z27" s="19">
        <v>4</v>
      </c>
      <c r="AA27" s="26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 t="s">
        <v>51</v>
      </c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D8B0-B1A0-B941-A782-3184BABA783D}">
  <dimension ref="A1:XFD37"/>
  <sheetViews>
    <sheetView workbookViewId="0"/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68" style="34" customWidth="1"/>
    <col min="28" max="28" width="17" style="3" customWidth="1"/>
    <col min="29" max="29" width="17.16406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52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15</v>
      </c>
      <c r="F3" s="5" t="s">
        <v>14</v>
      </c>
      <c r="G3" s="7" t="s">
        <v>7</v>
      </c>
      <c r="H3" s="5" t="s">
        <v>15</v>
      </c>
      <c r="I3" s="5" t="s">
        <v>14</v>
      </c>
      <c r="J3" s="5" t="s">
        <v>16</v>
      </c>
      <c r="K3" s="5" t="s">
        <v>15</v>
      </c>
      <c r="L3" s="5" t="s">
        <v>14</v>
      </c>
      <c r="M3" s="5" t="s">
        <v>17</v>
      </c>
      <c r="N3" s="5" t="s">
        <v>15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140</v>
      </c>
      <c r="D4" s="14">
        <f t="shared" si="0"/>
        <v>147</v>
      </c>
      <c r="E4" s="13">
        <f t="shared" si="0"/>
        <v>7</v>
      </c>
      <c r="F4" s="13">
        <f t="shared" si="0"/>
        <v>123</v>
      </c>
      <c r="G4" s="15">
        <f t="shared" si="0"/>
        <v>136</v>
      </c>
      <c r="H4" s="13">
        <f t="shared" si="0"/>
        <v>13</v>
      </c>
      <c r="I4" s="13">
        <f t="shared" si="0"/>
        <v>40</v>
      </c>
      <c r="J4" s="13">
        <f t="shared" si="0"/>
        <v>42</v>
      </c>
      <c r="K4" s="13">
        <f t="shared" si="0"/>
        <v>2</v>
      </c>
      <c r="L4" s="13">
        <f t="shared" si="0"/>
        <v>83</v>
      </c>
      <c r="M4" s="13">
        <f t="shared" si="0"/>
        <v>94</v>
      </c>
      <c r="N4" s="13">
        <f t="shared" si="0"/>
        <v>11</v>
      </c>
      <c r="O4" s="16">
        <f t="shared" si="0"/>
        <v>12</v>
      </c>
      <c r="P4" s="16">
        <f t="shared" si="0"/>
        <v>0</v>
      </c>
      <c r="Q4" s="17">
        <f t="shared" si="0"/>
        <v>64</v>
      </c>
      <c r="R4" s="13">
        <f t="shared" si="0"/>
        <v>25</v>
      </c>
      <c r="S4" s="13">
        <f t="shared" si="0"/>
        <v>6</v>
      </c>
      <c r="T4" s="13">
        <f t="shared" si="0"/>
        <v>7</v>
      </c>
      <c r="U4" s="13">
        <f t="shared" si="0"/>
        <v>9</v>
      </c>
      <c r="V4" s="13">
        <f t="shared" si="0"/>
        <v>25</v>
      </c>
      <c r="W4" s="13">
        <f t="shared" si="0"/>
        <v>30</v>
      </c>
      <c r="X4" s="13">
        <f t="shared" si="0"/>
        <v>6</v>
      </c>
      <c r="Y4" s="13">
        <f t="shared" si="0"/>
        <v>46</v>
      </c>
      <c r="Z4" s="13">
        <f t="shared" si="0"/>
        <v>12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18</v>
      </c>
      <c r="D6" s="24">
        <v>18</v>
      </c>
      <c r="E6" s="19">
        <f t="shared" ref="E6:E27" si="1">D6-C6</f>
        <v>0</v>
      </c>
      <c r="F6" s="19">
        <v>19</v>
      </c>
      <c r="G6" s="21">
        <v>20</v>
      </c>
      <c r="H6" s="19">
        <f t="shared" ref="H6:H27" si="2">G6-F6</f>
        <v>1</v>
      </c>
      <c r="I6" s="19">
        <v>7</v>
      </c>
      <c r="J6" s="19">
        <v>8</v>
      </c>
      <c r="K6" s="19">
        <f t="shared" ref="K6:K27" si="3">J6-I6</f>
        <v>1</v>
      </c>
      <c r="L6" s="19">
        <f t="shared" ref="L6:L27" si="4">F6-I6</f>
        <v>12</v>
      </c>
      <c r="M6" s="19">
        <f t="shared" ref="M6:M27" si="5">G6-J6</f>
        <v>12</v>
      </c>
      <c r="N6" s="19">
        <f t="shared" ref="N6:N27" si="6">M6-L6</f>
        <v>0</v>
      </c>
      <c r="O6" s="22"/>
      <c r="P6" s="22"/>
      <c r="Q6" s="25">
        <v>5</v>
      </c>
      <c r="R6" s="19">
        <v>2</v>
      </c>
      <c r="S6" s="19">
        <v>0</v>
      </c>
      <c r="T6" s="19">
        <v>2</v>
      </c>
      <c r="U6" s="19">
        <v>3</v>
      </c>
      <c r="V6" s="19">
        <v>2</v>
      </c>
      <c r="W6" s="19">
        <v>0</v>
      </c>
      <c r="X6" s="19">
        <v>0</v>
      </c>
      <c r="Y6" s="19">
        <v>5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7</v>
      </c>
      <c r="G7" s="21">
        <v>8</v>
      </c>
      <c r="H7" s="19">
        <f t="shared" si="2"/>
        <v>1</v>
      </c>
      <c r="I7" s="19">
        <v>3</v>
      </c>
      <c r="J7" s="19">
        <v>4</v>
      </c>
      <c r="K7" s="19">
        <f t="shared" si="3"/>
        <v>1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1</v>
      </c>
      <c r="R7" s="19">
        <v>0</v>
      </c>
      <c r="S7" s="19">
        <v>1</v>
      </c>
      <c r="T7" s="19">
        <v>0</v>
      </c>
      <c r="U7" s="19">
        <v>0</v>
      </c>
      <c r="V7" s="19">
        <v>0</v>
      </c>
      <c r="W7" s="19">
        <v>1</v>
      </c>
      <c r="X7" s="19">
        <v>0</v>
      </c>
      <c r="Y7" s="19">
        <v>1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9</v>
      </c>
      <c r="D8" s="24">
        <v>10</v>
      </c>
      <c r="E8" s="19">
        <f t="shared" si="1"/>
        <v>1</v>
      </c>
      <c r="F8" s="19">
        <v>4</v>
      </c>
      <c r="G8" s="21">
        <v>6</v>
      </c>
      <c r="H8" s="19">
        <f t="shared" si="2"/>
        <v>2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6</v>
      </c>
      <c r="N8" s="19">
        <f t="shared" si="6"/>
        <v>2</v>
      </c>
      <c r="O8" s="22"/>
      <c r="P8" s="22"/>
      <c r="Q8" s="25">
        <v>8</v>
      </c>
      <c r="R8" s="19">
        <v>4</v>
      </c>
      <c r="S8" s="19">
        <v>0</v>
      </c>
      <c r="T8" s="19">
        <v>2</v>
      </c>
      <c r="U8" s="19">
        <v>1</v>
      </c>
      <c r="V8" s="19">
        <v>3</v>
      </c>
      <c r="W8" s="19">
        <v>4</v>
      </c>
      <c r="X8" s="19">
        <v>1</v>
      </c>
      <c r="Y8" s="19">
        <v>6</v>
      </c>
      <c r="Z8" s="4">
        <v>1</v>
      </c>
      <c r="AA8" s="26"/>
    </row>
    <row r="9" spans="1:27" s="8" customFormat="1" ht="17" customHeight="1">
      <c r="A9" s="23" t="s">
        <v>32</v>
      </c>
      <c r="B9" s="19">
        <v>2</v>
      </c>
      <c r="C9" s="19">
        <v>7</v>
      </c>
      <c r="D9" s="24">
        <v>7</v>
      </c>
      <c r="E9" s="19">
        <f t="shared" si="1"/>
        <v>0</v>
      </c>
      <c r="F9" s="19">
        <v>5</v>
      </c>
      <c r="G9" s="21">
        <v>5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5</v>
      </c>
      <c r="M9" s="19">
        <f t="shared" si="5"/>
        <v>5</v>
      </c>
      <c r="N9" s="19">
        <f t="shared" si="6"/>
        <v>0</v>
      </c>
      <c r="O9" s="22"/>
      <c r="P9" s="22"/>
      <c r="Q9" s="25">
        <v>4</v>
      </c>
      <c r="R9" s="19">
        <v>2</v>
      </c>
      <c r="S9" s="19">
        <v>1</v>
      </c>
      <c r="T9" s="19">
        <v>0</v>
      </c>
      <c r="U9" s="19">
        <v>0</v>
      </c>
      <c r="V9" s="19">
        <v>2</v>
      </c>
      <c r="W9" s="19">
        <v>2</v>
      </c>
      <c r="X9" s="19">
        <v>1</v>
      </c>
      <c r="Y9" s="19">
        <v>3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2</v>
      </c>
      <c r="D10" s="24">
        <v>3</v>
      </c>
      <c r="E10" s="19">
        <f t="shared" si="1"/>
        <v>1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1</v>
      </c>
      <c r="R10" s="19">
        <v>1</v>
      </c>
      <c r="S10" s="19">
        <v>0</v>
      </c>
      <c r="T10" s="19">
        <v>0</v>
      </c>
      <c r="U10" s="19">
        <v>0</v>
      </c>
      <c r="V10" s="19">
        <v>0</v>
      </c>
      <c r="W10" s="19">
        <v>1</v>
      </c>
      <c r="X10" s="19">
        <v>0</v>
      </c>
      <c r="Y10" s="19">
        <v>1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1</v>
      </c>
      <c r="D11" s="24">
        <v>1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44">
        <v>2</v>
      </c>
      <c r="P11" s="22"/>
      <c r="Q11" s="25">
        <v>1</v>
      </c>
      <c r="R11" s="19">
        <v>0</v>
      </c>
      <c r="S11" s="19">
        <v>0</v>
      </c>
      <c r="T11" s="19">
        <v>0</v>
      </c>
      <c r="U11" s="19">
        <v>0</v>
      </c>
      <c r="V11" s="19">
        <v>1</v>
      </c>
      <c r="W11" s="19">
        <v>0</v>
      </c>
      <c r="X11" s="19">
        <v>1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2</v>
      </c>
      <c r="G13" s="21">
        <v>3</v>
      </c>
      <c r="H13" s="19">
        <f t="shared" si="2"/>
        <v>1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2</v>
      </c>
      <c r="N13" s="19">
        <f t="shared" si="6"/>
        <v>1</v>
      </c>
      <c r="O13" s="22"/>
      <c r="P13" s="22"/>
      <c r="Q13" s="25">
        <v>1</v>
      </c>
      <c r="R13" s="19">
        <v>1</v>
      </c>
      <c r="S13" s="19">
        <v>0</v>
      </c>
      <c r="T13" s="19">
        <v>0</v>
      </c>
      <c r="U13" s="19">
        <v>0</v>
      </c>
      <c r="V13" s="19">
        <v>1</v>
      </c>
      <c r="W13" s="19">
        <v>0</v>
      </c>
      <c r="X13" s="19">
        <v>0</v>
      </c>
      <c r="Y13" s="19">
        <v>1</v>
      </c>
      <c r="Z13" s="19">
        <v>0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3</v>
      </c>
      <c r="D14" s="24">
        <v>3</v>
      </c>
      <c r="E14" s="19">
        <f t="shared" si="1"/>
        <v>0</v>
      </c>
      <c r="F14" s="19">
        <v>3</v>
      </c>
      <c r="G14" s="21">
        <v>4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3</v>
      </c>
      <c r="M14" s="19">
        <f t="shared" si="5"/>
        <v>4</v>
      </c>
      <c r="N14" s="19">
        <f t="shared" si="6"/>
        <v>1</v>
      </c>
      <c r="O14" s="22"/>
      <c r="P14" s="22"/>
      <c r="Q14" s="25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3</v>
      </c>
      <c r="E15" s="19">
        <f t="shared" si="1"/>
        <v>1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1</v>
      </c>
      <c r="X15" s="19">
        <v>0</v>
      </c>
      <c r="Y15" s="19">
        <v>1</v>
      </c>
      <c r="Z15" s="19">
        <v>1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3</v>
      </c>
      <c r="G16" s="21">
        <v>5</v>
      </c>
      <c r="H16" s="19">
        <f t="shared" si="2"/>
        <v>2</v>
      </c>
      <c r="I16" s="19">
        <v>0</v>
      </c>
      <c r="J16" s="19">
        <v>0</v>
      </c>
      <c r="K16" s="19">
        <f t="shared" si="3"/>
        <v>0</v>
      </c>
      <c r="L16" s="19">
        <f t="shared" si="4"/>
        <v>3</v>
      </c>
      <c r="M16" s="19">
        <f t="shared" si="5"/>
        <v>5</v>
      </c>
      <c r="N16" s="19">
        <f t="shared" si="6"/>
        <v>2</v>
      </c>
      <c r="O16" s="22">
        <v>1</v>
      </c>
      <c r="P16" s="22">
        <v>0</v>
      </c>
      <c r="Q16" s="25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3</v>
      </c>
      <c r="D17" s="24">
        <v>3</v>
      </c>
      <c r="E17" s="19">
        <f t="shared" si="1"/>
        <v>0</v>
      </c>
      <c r="F17" s="19">
        <v>2</v>
      </c>
      <c r="G17" s="21">
        <v>2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2</v>
      </c>
      <c r="M17" s="19">
        <f t="shared" si="5"/>
        <v>2</v>
      </c>
      <c r="N17" s="19">
        <f t="shared" si="6"/>
        <v>0</v>
      </c>
      <c r="O17" s="22"/>
      <c r="P17" s="22"/>
      <c r="Q17" s="25">
        <v>2</v>
      </c>
      <c r="R17" s="19">
        <v>1</v>
      </c>
      <c r="S17" s="19">
        <v>0</v>
      </c>
      <c r="T17" s="19">
        <v>0</v>
      </c>
      <c r="U17" s="19">
        <v>1</v>
      </c>
      <c r="V17" s="19">
        <v>1</v>
      </c>
      <c r="W17" s="19">
        <v>0</v>
      </c>
      <c r="X17" s="19">
        <v>0</v>
      </c>
      <c r="Y17" s="19">
        <v>1</v>
      </c>
      <c r="Z17" s="19">
        <v>1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3</v>
      </c>
      <c r="D18" s="24">
        <v>3</v>
      </c>
      <c r="E18" s="19">
        <f t="shared" si="1"/>
        <v>0</v>
      </c>
      <c r="F18" s="19">
        <v>2</v>
      </c>
      <c r="G18" s="21">
        <v>2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2</v>
      </c>
      <c r="M18" s="19">
        <f t="shared" si="5"/>
        <v>2</v>
      </c>
      <c r="N18" s="19">
        <f t="shared" si="6"/>
        <v>0</v>
      </c>
      <c r="O18" s="22">
        <v>2</v>
      </c>
      <c r="P18" s="22"/>
      <c r="Q18" s="25">
        <v>2</v>
      </c>
      <c r="R18" s="19">
        <v>1</v>
      </c>
      <c r="S18" s="19">
        <v>0</v>
      </c>
      <c r="T18" s="19">
        <v>0</v>
      </c>
      <c r="U18" s="19">
        <v>0</v>
      </c>
      <c r="V18" s="19">
        <v>2</v>
      </c>
      <c r="W18" s="19">
        <v>0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>
        <v>1</v>
      </c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7</v>
      </c>
      <c r="D20" s="24">
        <v>7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4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3</v>
      </c>
      <c r="X20" s="19">
        <v>0</v>
      </c>
      <c r="Y20" s="19">
        <v>2</v>
      </c>
      <c r="Z20" s="19">
        <v>2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7</v>
      </c>
      <c r="D22" s="24">
        <v>8</v>
      </c>
      <c r="E22" s="19">
        <f t="shared" si="1"/>
        <v>1</v>
      </c>
      <c r="F22" s="19">
        <v>5</v>
      </c>
      <c r="G22" s="21">
        <v>5</v>
      </c>
      <c r="H22" s="19">
        <f t="shared" si="2"/>
        <v>0</v>
      </c>
      <c r="I22" s="4">
        <v>2</v>
      </c>
      <c r="J22" s="4">
        <v>2</v>
      </c>
      <c r="K22" s="19">
        <f t="shared" si="3"/>
        <v>0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6</v>
      </c>
      <c r="R22" s="19">
        <v>5</v>
      </c>
      <c r="S22" s="19">
        <v>0</v>
      </c>
      <c r="T22" s="19">
        <v>0</v>
      </c>
      <c r="U22" s="19">
        <v>2</v>
      </c>
      <c r="V22" s="4">
        <v>1</v>
      </c>
      <c r="W22" s="19">
        <v>3</v>
      </c>
      <c r="X22" s="19">
        <v>0</v>
      </c>
      <c r="Y22" s="19">
        <v>5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7</v>
      </c>
      <c r="E23" s="19">
        <f t="shared" si="1"/>
        <v>1</v>
      </c>
      <c r="F23" s="19">
        <v>7</v>
      </c>
      <c r="G23" s="21">
        <v>7</v>
      </c>
      <c r="H23" s="19">
        <f t="shared" si="2"/>
        <v>0</v>
      </c>
      <c r="I23" s="19">
        <v>2</v>
      </c>
      <c r="J23" s="19">
        <v>2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44">
        <v>1</v>
      </c>
      <c r="P23" s="22">
        <v>0</v>
      </c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v>0</v>
      </c>
      <c r="X23" s="19">
        <v>0</v>
      </c>
      <c r="Y23" s="19">
        <v>2</v>
      </c>
      <c r="Z23" s="4">
        <v>1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28</v>
      </c>
      <c r="D25" s="24">
        <v>29</v>
      </c>
      <c r="E25" s="19">
        <f t="shared" si="1"/>
        <v>1</v>
      </c>
      <c r="F25" s="19">
        <v>28</v>
      </c>
      <c r="G25" s="21">
        <v>30</v>
      </c>
      <c r="H25" s="19">
        <f t="shared" si="2"/>
        <v>2</v>
      </c>
      <c r="I25" s="19">
        <v>8</v>
      </c>
      <c r="J25" s="19">
        <v>8</v>
      </c>
      <c r="K25" s="19">
        <f t="shared" si="3"/>
        <v>0</v>
      </c>
      <c r="L25" s="19">
        <f t="shared" si="4"/>
        <v>20</v>
      </c>
      <c r="M25" s="19">
        <f t="shared" si="5"/>
        <v>22</v>
      </c>
      <c r="N25" s="19">
        <f t="shared" si="6"/>
        <v>2</v>
      </c>
      <c r="O25" s="44">
        <v>4</v>
      </c>
      <c r="P25" s="22"/>
      <c r="Q25" s="25">
        <v>8</v>
      </c>
      <c r="R25" s="19">
        <v>2</v>
      </c>
      <c r="S25" s="19">
        <v>1</v>
      </c>
      <c r="T25" s="19">
        <v>0</v>
      </c>
      <c r="U25" s="19">
        <v>1</v>
      </c>
      <c r="V25" s="19">
        <v>2</v>
      </c>
      <c r="W25" s="19">
        <v>5</v>
      </c>
      <c r="X25" s="19">
        <v>0</v>
      </c>
      <c r="Y25" s="19">
        <v>8</v>
      </c>
      <c r="Z25" s="19">
        <v>0</v>
      </c>
      <c r="AA25" s="26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15</v>
      </c>
      <c r="D26" s="24">
        <v>15</v>
      </c>
      <c r="E26" s="19">
        <f t="shared" si="1"/>
        <v>0</v>
      </c>
      <c r="F26" s="19">
        <v>10</v>
      </c>
      <c r="G26" s="21">
        <v>11</v>
      </c>
      <c r="H26" s="19">
        <f t="shared" si="2"/>
        <v>1</v>
      </c>
      <c r="I26" s="19">
        <v>5</v>
      </c>
      <c r="J26" s="19">
        <v>5</v>
      </c>
      <c r="K26" s="19">
        <f t="shared" si="3"/>
        <v>0</v>
      </c>
      <c r="L26" s="19">
        <f t="shared" si="4"/>
        <v>5</v>
      </c>
      <c r="M26" s="19">
        <f t="shared" si="5"/>
        <v>6</v>
      </c>
      <c r="N26" s="19">
        <f t="shared" si="6"/>
        <v>1</v>
      </c>
      <c r="O26" s="22">
        <v>1</v>
      </c>
      <c r="P26" s="22"/>
      <c r="Q26" s="25">
        <v>7</v>
      </c>
      <c r="R26" s="19">
        <v>1</v>
      </c>
      <c r="S26" s="19">
        <v>1</v>
      </c>
      <c r="T26" s="19">
        <v>3</v>
      </c>
      <c r="U26" s="19">
        <v>0</v>
      </c>
      <c r="V26" s="19">
        <v>2</v>
      </c>
      <c r="W26" s="19">
        <v>5</v>
      </c>
      <c r="X26" s="19">
        <v>2</v>
      </c>
      <c r="Y26" s="19">
        <v>5</v>
      </c>
      <c r="Z26" s="19">
        <v>0</v>
      </c>
      <c r="AA26" s="26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10</v>
      </c>
      <c r="D27" s="24">
        <v>11</v>
      </c>
      <c r="E27" s="19">
        <f t="shared" si="1"/>
        <v>1</v>
      </c>
      <c r="F27" s="19">
        <v>6</v>
      </c>
      <c r="G27" s="21">
        <v>8</v>
      </c>
      <c r="H27" s="19">
        <f t="shared" si="2"/>
        <v>2</v>
      </c>
      <c r="I27" s="19">
        <v>2</v>
      </c>
      <c r="J27" s="19">
        <v>2</v>
      </c>
      <c r="K27" s="19">
        <f t="shared" si="3"/>
        <v>0</v>
      </c>
      <c r="L27" s="19">
        <f t="shared" si="4"/>
        <v>4</v>
      </c>
      <c r="M27" s="19">
        <f t="shared" si="5"/>
        <v>6</v>
      </c>
      <c r="N27" s="19">
        <f t="shared" si="6"/>
        <v>2</v>
      </c>
      <c r="O27" s="22"/>
      <c r="P27" s="22"/>
      <c r="Q27" s="25">
        <v>6</v>
      </c>
      <c r="R27" s="19">
        <v>3</v>
      </c>
      <c r="S27" s="19">
        <v>1</v>
      </c>
      <c r="T27" s="19">
        <v>0</v>
      </c>
      <c r="U27" s="19">
        <v>0</v>
      </c>
      <c r="V27" s="19">
        <v>1</v>
      </c>
      <c r="W27" s="19">
        <v>5</v>
      </c>
      <c r="X27" s="19">
        <v>1</v>
      </c>
      <c r="Y27" s="19">
        <v>1</v>
      </c>
      <c r="Z27" s="19">
        <v>4</v>
      </c>
      <c r="AA27" s="26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 t="s">
        <v>51</v>
      </c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9583-1E6D-0843-B52D-9C320ABACF71}">
  <dimension ref="A1:XFD37"/>
  <sheetViews>
    <sheetView workbookViewId="0"/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68" style="34" customWidth="1"/>
    <col min="28" max="28" width="17" style="3" customWidth="1"/>
    <col min="29" max="29" width="17.16406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53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54</v>
      </c>
      <c r="F3" s="5" t="s">
        <v>14</v>
      </c>
      <c r="G3" s="7" t="s">
        <v>7</v>
      </c>
      <c r="H3" s="5" t="s">
        <v>54</v>
      </c>
      <c r="I3" s="5" t="s">
        <v>14</v>
      </c>
      <c r="J3" s="5" t="s">
        <v>16</v>
      </c>
      <c r="K3" s="5" t="s">
        <v>54</v>
      </c>
      <c r="L3" s="5" t="s">
        <v>14</v>
      </c>
      <c r="M3" s="5" t="s">
        <v>17</v>
      </c>
      <c r="N3" s="5" t="s">
        <v>54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137</v>
      </c>
      <c r="D4" s="14">
        <f t="shared" si="0"/>
        <v>140</v>
      </c>
      <c r="E4" s="13">
        <f t="shared" si="0"/>
        <v>3</v>
      </c>
      <c r="F4" s="13">
        <f t="shared" si="0"/>
        <v>117</v>
      </c>
      <c r="G4" s="15">
        <f t="shared" si="0"/>
        <v>123</v>
      </c>
      <c r="H4" s="13">
        <f t="shared" si="0"/>
        <v>6</v>
      </c>
      <c r="I4" s="13">
        <f t="shared" si="0"/>
        <v>40</v>
      </c>
      <c r="J4" s="13">
        <f t="shared" si="0"/>
        <v>40</v>
      </c>
      <c r="K4" s="13">
        <f t="shared" si="0"/>
        <v>0</v>
      </c>
      <c r="L4" s="13">
        <f t="shared" si="0"/>
        <v>77</v>
      </c>
      <c r="M4" s="13">
        <f t="shared" si="0"/>
        <v>83</v>
      </c>
      <c r="N4" s="13">
        <f t="shared" si="0"/>
        <v>6</v>
      </c>
      <c r="O4" s="16">
        <f t="shared" si="0"/>
        <v>11</v>
      </c>
      <c r="P4" s="16">
        <f t="shared" si="0"/>
        <v>0</v>
      </c>
      <c r="Q4" s="17">
        <f t="shared" si="0"/>
        <v>70</v>
      </c>
      <c r="R4" s="13">
        <f t="shared" si="0"/>
        <v>27</v>
      </c>
      <c r="S4" s="13">
        <f t="shared" si="0"/>
        <v>6</v>
      </c>
      <c r="T4" s="13">
        <f t="shared" si="0"/>
        <v>10</v>
      </c>
      <c r="U4" s="13">
        <f t="shared" si="0"/>
        <v>9</v>
      </c>
      <c r="V4" s="13">
        <f t="shared" si="0"/>
        <v>29</v>
      </c>
      <c r="W4" s="13">
        <f t="shared" si="0"/>
        <v>32</v>
      </c>
      <c r="X4" s="13">
        <f t="shared" si="0"/>
        <v>7</v>
      </c>
      <c r="Y4" s="13">
        <f t="shared" si="0"/>
        <v>50</v>
      </c>
      <c r="Z4" s="13">
        <f t="shared" si="0"/>
        <v>13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18</v>
      </c>
      <c r="D6" s="24">
        <v>18</v>
      </c>
      <c r="E6" s="19">
        <f t="shared" ref="E6:E27" si="1">D6-C6</f>
        <v>0</v>
      </c>
      <c r="F6" s="19">
        <v>19</v>
      </c>
      <c r="G6" s="21">
        <v>19</v>
      </c>
      <c r="H6" s="19">
        <f t="shared" ref="H6:H27" si="2">G6-F6</f>
        <v>0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12</v>
      </c>
      <c r="M6" s="19">
        <f t="shared" ref="M6:M27" si="5">G6-J6</f>
        <v>12</v>
      </c>
      <c r="N6" s="19">
        <f t="shared" ref="N6:N27" si="6">M6-L6</f>
        <v>0</v>
      </c>
      <c r="O6" s="22"/>
      <c r="P6" s="22"/>
      <c r="Q6" s="25">
        <v>6</v>
      </c>
      <c r="R6" s="19">
        <v>2</v>
      </c>
      <c r="S6" s="19">
        <v>0</v>
      </c>
      <c r="T6" s="19">
        <v>2</v>
      </c>
      <c r="U6" s="19">
        <v>3</v>
      </c>
      <c r="V6" s="19">
        <v>3</v>
      </c>
      <c r="W6" s="19">
        <v>0</v>
      </c>
      <c r="X6" s="19">
        <v>0</v>
      </c>
      <c r="Y6" s="19">
        <v>6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7</v>
      </c>
      <c r="G7" s="21">
        <v>7</v>
      </c>
      <c r="H7" s="19">
        <f t="shared" si="2"/>
        <v>0</v>
      </c>
      <c r="I7" s="19">
        <v>3</v>
      </c>
      <c r="J7" s="19">
        <v>3</v>
      </c>
      <c r="K7" s="19">
        <f t="shared" si="3"/>
        <v>0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2</v>
      </c>
      <c r="R7" s="19">
        <v>1</v>
      </c>
      <c r="S7" s="19">
        <v>0</v>
      </c>
      <c r="T7" s="19">
        <v>1</v>
      </c>
      <c r="U7" s="19">
        <v>0</v>
      </c>
      <c r="V7" s="19">
        <v>1</v>
      </c>
      <c r="W7" s="19">
        <v>1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9</v>
      </c>
      <c r="D8" s="24">
        <v>9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7</v>
      </c>
      <c r="D9" s="24">
        <v>7</v>
      </c>
      <c r="E9" s="19">
        <f t="shared" si="1"/>
        <v>0</v>
      </c>
      <c r="F9" s="19">
        <v>4</v>
      </c>
      <c r="G9" s="21">
        <v>5</v>
      </c>
      <c r="H9" s="19">
        <f t="shared" si="2"/>
        <v>1</v>
      </c>
      <c r="I9" s="19">
        <v>0</v>
      </c>
      <c r="J9" s="19">
        <v>0</v>
      </c>
      <c r="K9" s="19">
        <f t="shared" si="3"/>
        <v>0</v>
      </c>
      <c r="L9" s="19">
        <f t="shared" si="4"/>
        <v>4</v>
      </c>
      <c r="M9" s="19">
        <f t="shared" si="5"/>
        <v>5</v>
      </c>
      <c r="N9" s="19">
        <f t="shared" si="6"/>
        <v>1</v>
      </c>
      <c r="O9" s="22"/>
      <c r="P9" s="22"/>
      <c r="Q9" s="25">
        <v>4</v>
      </c>
      <c r="R9" s="19">
        <v>2</v>
      </c>
      <c r="S9" s="19">
        <v>1</v>
      </c>
      <c r="T9" s="19">
        <v>0</v>
      </c>
      <c r="U9" s="19">
        <v>0</v>
      </c>
      <c r="V9" s="19">
        <v>2</v>
      </c>
      <c r="W9" s="19">
        <v>2</v>
      </c>
      <c r="X9" s="19">
        <v>1</v>
      </c>
      <c r="Y9" s="19">
        <v>3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2</v>
      </c>
      <c r="D10" s="24">
        <v>2</v>
      </c>
      <c r="E10" s="19">
        <f t="shared" si="1"/>
        <v>0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1</v>
      </c>
      <c r="E11" s="19">
        <f t="shared" si="1"/>
        <v>1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44">
        <v>2</v>
      </c>
      <c r="P11" s="22"/>
      <c r="Q11" s="25">
        <v>1</v>
      </c>
      <c r="R11" s="19">
        <v>0</v>
      </c>
      <c r="S11" s="19">
        <v>0</v>
      </c>
      <c r="T11" s="19">
        <v>0</v>
      </c>
      <c r="U11" s="19">
        <v>0</v>
      </c>
      <c r="V11" s="19">
        <v>1</v>
      </c>
      <c r="W11" s="19">
        <v>0</v>
      </c>
      <c r="X11" s="19">
        <v>1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2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3</v>
      </c>
      <c r="D14" s="24">
        <v>3</v>
      </c>
      <c r="E14" s="19">
        <f t="shared" si="1"/>
        <v>0</v>
      </c>
      <c r="F14" s="19">
        <v>2</v>
      </c>
      <c r="G14" s="21">
        <v>3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2</v>
      </c>
      <c r="M14" s="19">
        <f t="shared" si="5"/>
        <v>3</v>
      </c>
      <c r="N14" s="19">
        <f t="shared" si="6"/>
        <v>1</v>
      </c>
      <c r="O14" s="22"/>
      <c r="P14" s="22"/>
      <c r="Q14" s="25">
        <v>1</v>
      </c>
      <c r="R14" s="19">
        <v>0</v>
      </c>
      <c r="S14" s="19">
        <v>0</v>
      </c>
      <c r="T14" s="19">
        <v>1</v>
      </c>
      <c r="U14" s="19">
        <v>0</v>
      </c>
      <c r="V14" s="19">
        <v>1</v>
      </c>
      <c r="W14" s="19">
        <v>0</v>
      </c>
      <c r="X14" s="19">
        <v>0</v>
      </c>
      <c r="Y14" s="19">
        <v>1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3</v>
      </c>
      <c r="G16" s="21">
        <v>3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3</v>
      </c>
      <c r="M16" s="19">
        <f t="shared" si="5"/>
        <v>3</v>
      </c>
      <c r="N16" s="19">
        <f t="shared" si="6"/>
        <v>0</v>
      </c>
      <c r="O16" s="22">
        <v>1</v>
      </c>
      <c r="P16" s="22"/>
      <c r="Q16" s="25">
        <v>2</v>
      </c>
      <c r="R16" s="19">
        <v>1</v>
      </c>
      <c r="S16" s="19">
        <v>0</v>
      </c>
      <c r="T16" s="19">
        <v>1</v>
      </c>
      <c r="U16" s="19">
        <v>0</v>
      </c>
      <c r="V16" s="19">
        <v>0</v>
      </c>
      <c r="W16" s="19">
        <v>2</v>
      </c>
      <c r="X16" s="19">
        <v>0</v>
      </c>
      <c r="Y16" s="19">
        <v>2</v>
      </c>
      <c r="Z16" s="19">
        <v>0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3</v>
      </c>
      <c r="D17" s="24">
        <v>3</v>
      </c>
      <c r="E17" s="19">
        <f t="shared" si="1"/>
        <v>0</v>
      </c>
      <c r="F17" s="19">
        <v>1</v>
      </c>
      <c r="G17" s="21">
        <v>2</v>
      </c>
      <c r="H17" s="19">
        <f t="shared" si="2"/>
        <v>1</v>
      </c>
      <c r="I17" s="19">
        <v>0</v>
      </c>
      <c r="J17" s="19">
        <v>0</v>
      </c>
      <c r="K17" s="19">
        <f t="shared" si="3"/>
        <v>0</v>
      </c>
      <c r="L17" s="19">
        <f t="shared" si="4"/>
        <v>1</v>
      </c>
      <c r="M17" s="19">
        <f t="shared" si="5"/>
        <v>2</v>
      </c>
      <c r="N17" s="19">
        <f t="shared" si="6"/>
        <v>1</v>
      </c>
      <c r="O17" s="22"/>
      <c r="P17" s="22"/>
      <c r="Q17" s="25">
        <v>2</v>
      </c>
      <c r="R17" s="19">
        <v>1</v>
      </c>
      <c r="S17" s="19">
        <v>0</v>
      </c>
      <c r="T17" s="19">
        <v>0</v>
      </c>
      <c r="U17" s="19">
        <v>1</v>
      </c>
      <c r="V17" s="19">
        <v>1</v>
      </c>
      <c r="W17" s="19">
        <v>0</v>
      </c>
      <c r="X17" s="19">
        <v>0</v>
      </c>
      <c r="Y17" s="19">
        <v>1</v>
      </c>
      <c r="Z17" s="19">
        <v>1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3</v>
      </c>
      <c r="D18" s="24">
        <v>3</v>
      </c>
      <c r="E18" s="19">
        <f t="shared" si="1"/>
        <v>0</v>
      </c>
      <c r="F18" s="19">
        <v>1</v>
      </c>
      <c r="G18" s="21">
        <v>2</v>
      </c>
      <c r="H18" s="19">
        <f t="shared" si="2"/>
        <v>1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2</v>
      </c>
      <c r="N18" s="19">
        <f t="shared" si="6"/>
        <v>1</v>
      </c>
      <c r="O18" s="22">
        <v>2</v>
      </c>
      <c r="P18" s="22"/>
      <c r="Q18" s="25">
        <v>2</v>
      </c>
      <c r="R18" s="19">
        <v>1</v>
      </c>
      <c r="S18" s="19">
        <v>0</v>
      </c>
      <c r="T18" s="19">
        <v>0</v>
      </c>
      <c r="U18" s="19">
        <v>0</v>
      </c>
      <c r="V18" s="19">
        <v>2</v>
      </c>
      <c r="W18" s="19">
        <v>0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7</v>
      </c>
      <c r="D20" s="24">
        <v>7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4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3</v>
      </c>
      <c r="X20" s="19">
        <v>0</v>
      </c>
      <c r="Y20" s="19">
        <v>2</v>
      </c>
      <c r="Z20" s="19">
        <v>2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7</v>
      </c>
      <c r="D22" s="24">
        <v>7</v>
      </c>
      <c r="E22" s="19">
        <f t="shared" si="1"/>
        <v>0</v>
      </c>
      <c r="F22" s="19">
        <v>5</v>
      </c>
      <c r="G22" s="21">
        <v>5</v>
      </c>
      <c r="H22" s="19">
        <f t="shared" si="2"/>
        <v>0</v>
      </c>
      <c r="I22" s="4">
        <v>2</v>
      </c>
      <c r="J22" s="4">
        <v>2</v>
      </c>
      <c r="K22" s="19">
        <f t="shared" si="3"/>
        <v>0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v>3</v>
      </c>
      <c r="X22" s="19">
        <v>0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7</v>
      </c>
      <c r="G23" s="21">
        <v>7</v>
      </c>
      <c r="H23" s="19">
        <f t="shared" si="2"/>
        <v>0</v>
      </c>
      <c r="I23" s="19">
        <v>2</v>
      </c>
      <c r="J23" s="19">
        <v>2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44">
        <v>1</v>
      </c>
      <c r="P23" s="22">
        <v>0</v>
      </c>
      <c r="Q23" s="25">
        <v>2</v>
      </c>
      <c r="R23" s="19">
        <v>0</v>
      </c>
      <c r="S23" s="19">
        <v>0</v>
      </c>
      <c r="T23" s="19">
        <v>0</v>
      </c>
      <c r="U23" s="19">
        <v>0</v>
      </c>
      <c r="V23" s="19">
        <v>2</v>
      </c>
      <c r="W23" s="19">
        <v>0</v>
      </c>
      <c r="X23" s="19">
        <v>0</v>
      </c>
      <c r="Y23" s="19">
        <v>1</v>
      </c>
      <c r="Z23" s="4">
        <v>1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26</v>
      </c>
      <c r="D25" s="24">
        <v>28</v>
      </c>
      <c r="E25" s="19">
        <f t="shared" si="1"/>
        <v>2</v>
      </c>
      <c r="F25" s="19">
        <v>26</v>
      </c>
      <c r="G25" s="21">
        <v>28</v>
      </c>
      <c r="H25" s="19">
        <f t="shared" si="2"/>
        <v>2</v>
      </c>
      <c r="I25" s="19">
        <v>8</v>
      </c>
      <c r="J25" s="19">
        <v>8</v>
      </c>
      <c r="K25" s="19">
        <f t="shared" si="3"/>
        <v>0</v>
      </c>
      <c r="L25" s="19">
        <f t="shared" si="4"/>
        <v>18</v>
      </c>
      <c r="M25" s="19">
        <f t="shared" si="5"/>
        <v>20</v>
      </c>
      <c r="N25" s="19">
        <f t="shared" si="6"/>
        <v>2</v>
      </c>
      <c r="O25" s="44">
        <v>4</v>
      </c>
      <c r="P25" s="22"/>
      <c r="Q25" s="25">
        <v>9</v>
      </c>
      <c r="R25" s="19">
        <v>3</v>
      </c>
      <c r="S25" s="19">
        <v>1</v>
      </c>
      <c r="T25" s="19">
        <v>0</v>
      </c>
      <c r="U25" s="19">
        <v>1</v>
      </c>
      <c r="V25" s="19">
        <v>2</v>
      </c>
      <c r="W25" s="19">
        <v>6</v>
      </c>
      <c r="X25" s="19">
        <v>0</v>
      </c>
      <c r="Y25" s="19">
        <v>9</v>
      </c>
      <c r="Z25" s="19">
        <v>0</v>
      </c>
      <c r="AA25" s="26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15</v>
      </c>
      <c r="D26" s="24">
        <v>15</v>
      </c>
      <c r="E26" s="19">
        <f t="shared" si="1"/>
        <v>0</v>
      </c>
      <c r="F26" s="19">
        <v>10</v>
      </c>
      <c r="G26" s="21">
        <v>10</v>
      </c>
      <c r="H26" s="19">
        <f t="shared" si="2"/>
        <v>0</v>
      </c>
      <c r="I26" s="19">
        <v>5</v>
      </c>
      <c r="J26" s="19">
        <v>5</v>
      </c>
      <c r="K26" s="19">
        <f t="shared" si="3"/>
        <v>0</v>
      </c>
      <c r="L26" s="19">
        <f t="shared" si="4"/>
        <v>5</v>
      </c>
      <c r="M26" s="19">
        <f t="shared" si="5"/>
        <v>5</v>
      </c>
      <c r="N26" s="19">
        <f t="shared" si="6"/>
        <v>0</v>
      </c>
      <c r="O26" s="22">
        <v>1</v>
      </c>
      <c r="P26" s="22"/>
      <c r="Q26" s="25">
        <v>8</v>
      </c>
      <c r="R26" s="19">
        <v>1</v>
      </c>
      <c r="S26" s="19">
        <v>2</v>
      </c>
      <c r="T26" s="19">
        <v>3</v>
      </c>
      <c r="U26" s="19">
        <v>1</v>
      </c>
      <c r="V26" s="19">
        <v>2</v>
      </c>
      <c r="W26" s="19">
        <v>5</v>
      </c>
      <c r="X26" s="19">
        <v>2</v>
      </c>
      <c r="Y26" s="19">
        <v>5</v>
      </c>
      <c r="Z26" s="19">
        <v>1</v>
      </c>
      <c r="AA26" s="26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6</v>
      </c>
      <c r="G27" s="21">
        <v>6</v>
      </c>
      <c r="H27" s="19">
        <f t="shared" si="2"/>
        <v>0</v>
      </c>
      <c r="I27" s="19">
        <v>2</v>
      </c>
      <c r="J27" s="19">
        <v>2</v>
      </c>
      <c r="K27" s="19">
        <f t="shared" si="3"/>
        <v>0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7</v>
      </c>
      <c r="R27" s="19">
        <v>4</v>
      </c>
      <c r="S27" s="19">
        <v>1</v>
      </c>
      <c r="T27" s="19">
        <v>0</v>
      </c>
      <c r="U27" s="19">
        <v>0</v>
      </c>
      <c r="V27" s="19">
        <v>1</v>
      </c>
      <c r="W27" s="19">
        <v>6</v>
      </c>
      <c r="X27" s="19">
        <v>2</v>
      </c>
      <c r="Y27" s="19">
        <v>2</v>
      </c>
      <c r="Z27" s="19">
        <v>3</v>
      </c>
      <c r="AA27" s="26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 t="s">
        <v>51</v>
      </c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F5E8-1A3C-B047-8F37-9F9F537BB78A}">
  <dimension ref="A1:XFD37"/>
  <sheetViews>
    <sheetView workbookViewId="0"/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68" style="34" customWidth="1"/>
    <col min="28" max="28" width="17" style="3" customWidth="1"/>
    <col min="29" max="29" width="11.332031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55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54</v>
      </c>
      <c r="F3" s="5" t="s">
        <v>14</v>
      </c>
      <c r="G3" s="7" t="s">
        <v>7</v>
      </c>
      <c r="H3" s="5" t="s">
        <v>54</v>
      </c>
      <c r="I3" s="5" t="s">
        <v>14</v>
      </c>
      <c r="J3" s="5" t="s">
        <v>16</v>
      </c>
      <c r="K3" s="5" t="s">
        <v>54</v>
      </c>
      <c r="L3" s="5" t="s">
        <v>14</v>
      </c>
      <c r="M3" s="5" t="s">
        <v>17</v>
      </c>
      <c r="N3" s="5" t="s">
        <v>54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130</v>
      </c>
      <c r="D4" s="14">
        <f t="shared" si="0"/>
        <v>137</v>
      </c>
      <c r="E4" s="13">
        <f t="shared" si="0"/>
        <v>7</v>
      </c>
      <c r="F4" s="13">
        <f t="shared" si="0"/>
        <v>107</v>
      </c>
      <c r="G4" s="15">
        <f t="shared" si="0"/>
        <v>117</v>
      </c>
      <c r="H4" s="13">
        <f t="shared" si="0"/>
        <v>10</v>
      </c>
      <c r="I4" s="13">
        <f t="shared" si="0"/>
        <v>38</v>
      </c>
      <c r="J4" s="13">
        <f t="shared" si="0"/>
        <v>40</v>
      </c>
      <c r="K4" s="13">
        <f t="shared" si="0"/>
        <v>2</v>
      </c>
      <c r="L4" s="13">
        <f t="shared" si="0"/>
        <v>69</v>
      </c>
      <c r="M4" s="13">
        <f t="shared" si="0"/>
        <v>77</v>
      </c>
      <c r="N4" s="13">
        <f t="shared" si="0"/>
        <v>8</v>
      </c>
      <c r="O4" s="16">
        <f t="shared" si="0"/>
        <v>5</v>
      </c>
      <c r="P4" s="16">
        <f t="shared" si="0"/>
        <v>0</v>
      </c>
      <c r="Q4" s="17">
        <f t="shared" si="0"/>
        <v>73</v>
      </c>
      <c r="R4" s="13">
        <f t="shared" si="0"/>
        <v>28</v>
      </c>
      <c r="S4" s="13">
        <f t="shared" si="0"/>
        <v>7</v>
      </c>
      <c r="T4" s="13">
        <f t="shared" si="0"/>
        <v>9</v>
      </c>
      <c r="U4" s="13">
        <f t="shared" si="0"/>
        <v>9</v>
      </c>
      <c r="V4" s="13">
        <f t="shared" si="0"/>
        <v>31</v>
      </c>
      <c r="W4" s="13">
        <f t="shared" si="0"/>
        <v>33</v>
      </c>
      <c r="X4" s="13">
        <f t="shared" si="0"/>
        <v>7</v>
      </c>
      <c r="Y4" s="13">
        <f t="shared" si="0"/>
        <v>51</v>
      </c>
      <c r="Z4" s="13">
        <f t="shared" si="0"/>
        <v>15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17</v>
      </c>
      <c r="D6" s="24">
        <v>18</v>
      </c>
      <c r="E6" s="19">
        <f t="shared" ref="E6:E27" si="1">D6-C6</f>
        <v>1</v>
      </c>
      <c r="F6" s="19">
        <v>16</v>
      </c>
      <c r="G6" s="21">
        <v>19</v>
      </c>
      <c r="H6" s="19">
        <f t="shared" ref="H6:H27" si="2">G6-F6</f>
        <v>3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9</v>
      </c>
      <c r="M6" s="19">
        <f t="shared" ref="M6:M27" si="5">G6-J6</f>
        <v>12</v>
      </c>
      <c r="N6" s="19">
        <f t="shared" ref="N6:N27" si="6">M6-L6</f>
        <v>3</v>
      </c>
      <c r="O6" s="22"/>
      <c r="P6" s="22"/>
      <c r="Q6" s="25">
        <v>6</v>
      </c>
      <c r="R6" s="19">
        <v>2</v>
      </c>
      <c r="S6" s="19">
        <v>0</v>
      </c>
      <c r="T6" s="19">
        <v>2</v>
      </c>
      <c r="U6" s="19">
        <v>3</v>
      </c>
      <c r="V6" s="19">
        <v>3</v>
      </c>
      <c r="W6" s="19">
        <v>0</v>
      </c>
      <c r="X6" s="19">
        <v>0</v>
      </c>
      <c r="Y6" s="19">
        <v>6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7</v>
      </c>
      <c r="G7" s="21">
        <v>7</v>
      </c>
      <c r="H7" s="19">
        <f t="shared" si="2"/>
        <v>0</v>
      </c>
      <c r="I7" s="19">
        <v>3</v>
      </c>
      <c r="J7" s="19">
        <v>3</v>
      </c>
      <c r="K7" s="19">
        <f t="shared" si="3"/>
        <v>0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2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v>1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9</v>
      </c>
      <c r="D8" s="24">
        <v>9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6</v>
      </c>
      <c r="D9" s="24">
        <v>7</v>
      </c>
      <c r="E9" s="19">
        <f t="shared" si="1"/>
        <v>1</v>
      </c>
      <c r="F9" s="19">
        <v>3</v>
      </c>
      <c r="G9" s="21">
        <v>4</v>
      </c>
      <c r="H9" s="19">
        <f t="shared" si="2"/>
        <v>1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4</v>
      </c>
      <c r="N9" s="19">
        <f t="shared" si="6"/>
        <v>1</v>
      </c>
      <c r="O9" s="22"/>
      <c r="P9" s="22"/>
      <c r="Q9" s="25">
        <v>5</v>
      </c>
      <c r="R9" s="19">
        <v>2</v>
      </c>
      <c r="S9" s="19">
        <v>1</v>
      </c>
      <c r="T9" s="19">
        <v>0</v>
      </c>
      <c r="U9" s="19">
        <v>0</v>
      </c>
      <c r="V9" s="19">
        <v>3</v>
      </c>
      <c r="W9" s="19">
        <v>2</v>
      </c>
      <c r="X9" s="19">
        <v>1</v>
      </c>
      <c r="Y9" s="19">
        <v>4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2</v>
      </c>
      <c r="D10" s="24">
        <v>2</v>
      </c>
      <c r="E10" s="19">
        <f t="shared" si="1"/>
        <v>0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24">
        <v>3</v>
      </c>
      <c r="E14" s="19">
        <f t="shared" si="1"/>
        <v>1</v>
      </c>
      <c r="F14" s="19">
        <v>2</v>
      </c>
      <c r="G14" s="21">
        <v>2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2</v>
      </c>
      <c r="M14" s="19">
        <f t="shared" si="5"/>
        <v>2</v>
      </c>
      <c r="N14" s="19">
        <f t="shared" si="6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1</v>
      </c>
      <c r="X14" s="19">
        <v>0</v>
      </c>
      <c r="Y14" s="19">
        <v>1</v>
      </c>
      <c r="Z14" s="19">
        <v>1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2</v>
      </c>
      <c r="G16" s="21">
        <v>3</v>
      </c>
      <c r="H16" s="19">
        <f t="shared" si="2"/>
        <v>1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3</v>
      </c>
      <c r="N16" s="19">
        <f t="shared" si="6"/>
        <v>1</v>
      </c>
      <c r="O16" s="22">
        <v>1</v>
      </c>
      <c r="P16" s="22"/>
      <c r="Q16" s="25">
        <v>2</v>
      </c>
      <c r="R16" s="19">
        <v>1</v>
      </c>
      <c r="S16" s="19">
        <v>0</v>
      </c>
      <c r="T16" s="19">
        <v>1</v>
      </c>
      <c r="U16" s="19">
        <v>0</v>
      </c>
      <c r="V16" s="19">
        <v>0</v>
      </c>
      <c r="W16" s="19">
        <v>2</v>
      </c>
      <c r="X16" s="19">
        <v>0</v>
      </c>
      <c r="Y16" s="19">
        <v>2</v>
      </c>
      <c r="Z16" s="19">
        <v>0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24">
        <v>3</v>
      </c>
      <c r="E17" s="19">
        <f t="shared" si="1"/>
        <v>1</v>
      </c>
      <c r="F17" s="19">
        <v>1</v>
      </c>
      <c r="G17" s="21">
        <v>1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1</v>
      </c>
      <c r="M17" s="19">
        <f t="shared" si="5"/>
        <v>1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2</v>
      </c>
      <c r="Z17" s="19">
        <v>1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24">
        <v>3</v>
      </c>
      <c r="E18" s="19">
        <f t="shared" si="1"/>
        <v>1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>
        <v>2</v>
      </c>
      <c r="P18" s="22"/>
      <c r="Q18" s="25">
        <v>3</v>
      </c>
      <c r="R18" s="19">
        <v>2</v>
      </c>
      <c r="S18" s="19">
        <v>0</v>
      </c>
      <c r="T18" s="19">
        <v>0</v>
      </c>
      <c r="U18" s="19">
        <v>0</v>
      </c>
      <c r="V18" s="19">
        <v>2</v>
      </c>
      <c r="W18" s="19">
        <v>1</v>
      </c>
      <c r="X18" s="19">
        <v>0</v>
      </c>
      <c r="Y18" s="19">
        <v>3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6</v>
      </c>
      <c r="D20" s="24">
        <v>7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4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3</v>
      </c>
      <c r="X20" s="19">
        <v>0</v>
      </c>
      <c r="Y20" s="19">
        <v>2</v>
      </c>
      <c r="Z20" s="19">
        <v>2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7</v>
      </c>
      <c r="D22" s="24">
        <v>7</v>
      </c>
      <c r="E22" s="19">
        <f t="shared" si="1"/>
        <v>0</v>
      </c>
      <c r="F22" s="19">
        <v>4</v>
      </c>
      <c r="G22" s="21">
        <v>5</v>
      </c>
      <c r="H22" s="19">
        <f t="shared" si="2"/>
        <v>1</v>
      </c>
      <c r="I22" s="4">
        <v>1</v>
      </c>
      <c r="J22" s="4">
        <v>2</v>
      </c>
      <c r="K22" s="19">
        <f t="shared" si="3"/>
        <v>1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v>3</v>
      </c>
      <c r="X22" s="19">
        <v>0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6</v>
      </c>
      <c r="G23" s="21">
        <v>7</v>
      </c>
      <c r="H23" s="19">
        <f t="shared" si="2"/>
        <v>1</v>
      </c>
      <c r="I23" s="19">
        <v>1</v>
      </c>
      <c r="J23" s="19">
        <v>2</v>
      </c>
      <c r="K23" s="19">
        <f t="shared" si="3"/>
        <v>1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2</v>
      </c>
      <c r="R23" s="19">
        <v>0</v>
      </c>
      <c r="S23" s="19">
        <v>0</v>
      </c>
      <c r="T23" s="19">
        <v>0</v>
      </c>
      <c r="U23" s="19">
        <v>0</v>
      </c>
      <c r="V23" s="19">
        <v>2</v>
      </c>
      <c r="W23" s="19">
        <v>0</v>
      </c>
      <c r="X23" s="19">
        <v>0</v>
      </c>
      <c r="Y23" s="19">
        <v>1</v>
      </c>
      <c r="Z23" s="4">
        <v>1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26</v>
      </c>
      <c r="D25" s="24">
        <v>26</v>
      </c>
      <c r="E25" s="19">
        <f t="shared" si="1"/>
        <v>0</v>
      </c>
      <c r="F25" s="19">
        <v>23</v>
      </c>
      <c r="G25" s="21">
        <v>26</v>
      </c>
      <c r="H25" s="19">
        <f t="shared" si="2"/>
        <v>3</v>
      </c>
      <c r="I25" s="19">
        <v>8</v>
      </c>
      <c r="J25" s="19">
        <v>8</v>
      </c>
      <c r="K25" s="19">
        <f t="shared" si="3"/>
        <v>0</v>
      </c>
      <c r="L25" s="19">
        <f t="shared" si="4"/>
        <v>15</v>
      </c>
      <c r="M25" s="19">
        <f t="shared" si="5"/>
        <v>18</v>
      </c>
      <c r="N25" s="19">
        <f t="shared" si="6"/>
        <v>3</v>
      </c>
      <c r="O25" s="22"/>
      <c r="P25" s="22"/>
      <c r="Q25" s="25">
        <v>9</v>
      </c>
      <c r="R25" s="19">
        <v>3</v>
      </c>
      <c r="S25" s="19">
        <v>1</v>
      </c>
      <c r="T25" s="19">
        <v>0</v>
      </c>
      <c r="U25" s="19">
        <v>1</v>
      </c>
      <c r="V25" s="19">
        <v>3</v>
      </c>
      <c r="W25" s="19">
        <v>5</v>
      </c>
      <c r="X25" s="19">
        <v>1</v>
      </c>
      <c r="Y25" s="19">
        <v>8</v>
      </c>
      <c r="Z25" s="19">
        <v>0</v>
      </c>
      <c r="AA25" s="26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14</v>
      </c>
      <c r="D26" s="24">
        <v>15</v>
      </c>
      <c r="E26" s="19">
        <f t="shared" si="1"/>
        <v>1</v>
      </c>
      <c r="F26" s="19">
        <v>10</v>
      </c>
      <c r="G26" s="21">
        <v>10</v>
      </c>
      <c r="H26" s="19">
        <f t="shared" si="2"/>
        <v>0</v>
      </c>
      <c r="I26" s="19">
        <v>5</v>
      </c>
      <c r="J26" s="19">
        <v>5</v>
      </c>
      <c r="K26" s="19">
        <f t="shared" si="3"/>
        <v>0</v>
      </c>
      <c r="L26" s="19">
        <f t="shared" si="4"/>
        <v>5</v>
      </c>
      <c r="M26" s="19">
        <f t="shared" si="5"/>
        <v>5</v>
      </c>
      <c r="N26" s="19">
        <f t="shared" si="6"/>
        <v>0</v>
      </c>
      <c r="O26" s="22">
        <v>1</v>
      </c>
      <c r="P26" s="22"/>
      <c r="Q26" s="25">
        <v>8</v>
      </c>
      <c r="R26" s="19">
        <v>1</v>
      </c>
      <c r="S26" s="19">
        <v>2</v>
      </c>
      <c r="T26" s="19">
        <v>3</v>
      </c>
      <c r="U26" s="19">
        <v>1</v>
      </c>
      <c r="V26" s="19">
        <v>2</v>
      </c>
      <c r="W26" s="19">
        <v>5</v>
      </c>
      <c r="X26" s="19">
        <v>2</v>
      </c>
      <c r="Y26" s="19">
        <v>5</v>
      </c>
      <c r="Z26" s="19">
        <v>1</v>
      </c>
      <c r="AA26" s="26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6</v>
      </c>
      <c r="G27" s="21">
        <v>6</v>
      </c>
      <c r="H27" s="19">
        <f t="shared" si="2"/>
        <v>0</v>
      </c>
      <c r="I27" s="19">
        <v>2</v>
      </c>
      <c r="J27" s="19">
        <v>2</v>
      </c>
      <c r="K27" s="19">
        <f t="shared" si="3"/>
        <v>0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7</v>
      </c>
      <c r="R27" s="19">
        <v>4</v>
      </c>
      <c r="S27" s="19">
        <v>1</v>
      </c>
      <c r="T27" s="19">
        <v>0</v>
      </c>
      <c r="U27" s="19">
        <v>0</v>
      </c>
      <c r="V27" s="19">
        <v>1</v>
      </c>
      <c r="W27" s="19">
        <v>6</v>
      </c>
      <c r="X27" s="19">
        <v>2</v>
      </c>
      <c r="Y27" s="19">
        <v>1</v>
      </c>
      <c r="Z27" s="19">
        <v>4</v>
      </c>
      <c r="AA27" s="26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 t="s">
        <v>56</v>
      </c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9CDD-D730-824E-B028-C983315A9EAA}">
  <dimension ref="A1:XFD37"/>
  <sheetViews>
    <sheetView workbookViewId="0"/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68" style="34" customWidth="1"/>
    <col min="28" max="28" width="17" style="3" customWidth="1"/>
    <col min="29" max="29" width="11.332031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57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54</v>
      </c>
      <c r="F3" s="5" t="s">
        <v>14</v>
      </c>
      <c r="G3" s="7" t="s">
        <v>7</v>
      </c>
      <c r="H3" s="5" t="s">
        <v>54</v>
      </c>
      <c r="I3" s="5" t="s">
        <v>14</v>
      </c>
      <c r="J3" s="5" t="s">
        <v>16</v>
      </c>
      <c r="K3" s="5" t="s">
        <v>54</v>
      </c>
      <c r="L3" s="5" t="s">
        <v>14</v>
      </c>
      <c r="M3" s="5" t="s">
        <v>17</v>
      </c>
      <c r="N3" s="5" t="s">
        <v>54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127</v>
      </c>
      <c r="D4" s="14">
        <f t="shared" si="0"/>
        <v>130</v>
      </c>
      <c r="E4" s="13">
        <f t="shared" si="0"/>
        <v>3</v>
      </c>
      <c r="F4" s="13">
        <f t="shared" si="0"/>
        <v>103</v>
      </c>
      <c r="G4" s="15">
        <f t="shared" si="0"/>
        <v>107</v>
      </c>
      <c r="H4" s="13">
        <f t="shared" si="0"/>
        <v>4</v>
      </c>
      <c r="I4" s="13">
        <f t="shared" si="0"/>
        <v>36</v>
      </c>
      <c r="J4" s="13">
        <f t="shared" si="0"/>
        <v>38</v>
      </c>
      <c r="K4" s="13">
        <f t="shared" si="0"/>
        <v>2</v>
      </c>
      <c r="L4" s="13">
        <f t="shared" si="0"/>
        <v>67</v>
      </c>
      <c r="M4" s="13">
        <f t="shared" si="0"/>
        <v>69</v>
      </c>
      <c r="N4" s="13">
        <f t="shared" si="0"/>
        <v>2</v>
      </c>
      <c r="O4" s="16">
        <f t="shared" si="0"/>
        <v>2</v>
      </c>
      <c r="P4" s="16">
        <f t="shared" si="0"/>
        <v>0</v>
      </c>
      <c r="Q4" s="17">
        <f t="shared" si="0"/>
        <v>76</v>
      </c>
      <c r="R4" s="13">
        <f t="shared" si="0"/>
        <v>27</v>
      </c>
      <c r="S4" s="13">
        <f t="shared" si="0"/>
        <v>10</v>
      </c>
      <c r="T4" s="13">
        <f t="shared" si="0"/>
        <v>10</v>
      </c>
      <c r="U4" s="13">
        <f t="shared" si="0"/>
        <v>11</v>
      </c>
      <c r="V4" s="13">
        <f t="shared" si="0"/>
        <v>30</v>
      </c>
      <c r="W4" s="13">
        <f t="shared" si="0"/>
        <v>35</v>
      </c>
      <c r="X4" s="13">
        <f t="shared" si="0"/>
        <v>7</v>
      </c>
      <c r="Y4" s="13">
        <f t="shared" si="0"/>
        <v>55</v>
      </c>
      <c r="Z4" s="13">
        <f t="shared" si="0"/>
        <v>14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17</v>
      </c>
      <c r="D6" s="24">
        <v>17</v>
      </c>
      <c r="E6" s="19">
        <f t="shared" ref="E6:E27" si="1">D6-C6</f>
        <v>0</v>
      </c>
      <c r="F6" s="19">
        <v>15</v>
      </c>
      <c r="G6" s="21">
        <v>16</v>
      </c>
      <c r="H6" s="19">
        <f t="shared" ref="H6:H27" si="2">G6-F6</f>
        <v>1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9</v>
      </c>
      <c r="N6" s="19">
        <f t="shared" ref="N6:N27" si="6">M6-L6</f>
        <v>1</v>
      </c>
      <c r="O6" s="22"/>
      <c r="P6" s="22"/>
      <c r="Q6" s="25">
        <v>8</v>
      </c>
      <c r="R6" s="19">
        <v>1</v>
      </c>
      <c r="S6" s="19">
        <v>2</v>
      </c>
      <c r="T6" s="19">
        <v>2</v>
      </c>
      <c r="U6" s="19">
        <v>3</v>
      </c>
      <c r="V6" s="19">
        <v>4</v>
      </c>
      <c r="W6" s="19">
        <v>1</v>
      </c>
      <c r="X6" s="19">
        <v>0</v>
      </c>
      <c r="Y6" s="19">
        <v>8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6</v>
      </c>
      <c r="G7" s="21">
        <v>7</v>
      </c>
      <c r="H7" s="19">
        <f t="shared" si="2"/>
        <v>1</v>
      </c>
      <c r="I7" s="19">
        <v>2</v>
      </c>
      <c r="J7" s="19">
        <v>3</v>
      </c>
      <c r="K7" s="19">
        <f t="shared" si="3"/>
        <v>1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2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v>1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9</v>
      </c>
      <c r="D8" s="24">
        <v>9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6</v>
      </c>
      <c r="D9" s="24">
        <v>6</v>
      </c>
      <c r="E9" s="19">
        <f t="shared" si="1"/>
        <v>0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5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3</v>
      </c>
      <c r="X9" s="19">
        <v>1</v>
      </c>
      <c r="Y9" s="19">
        <v>4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2</v>
      </c>
      <c r="D10" s="24">
        <v>2</v>
      </c>
      <c r="E10" s="19">
        <f t="shared" si="1"/>
        <v>0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24">
        <v>2</v>
      </c>
      <c r="E14" s="19">
        <f t="shared" si="1"/>
        <v>0</v>
      </c>
      <c r="F14" s="19">
        <v>2</v>
      </c>
      <c r="G14" s="21">
        <v>2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2</v>
      </c>
      <c r="M14" s="19">
        <f t="shared" si="5"/>
        <v>2</v>
      </c>
      <c r="N14" s="19">
        <f t="shared" si="6"/>
        <v>0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0</v>
      </c>
      <c r="X14" s="19">
        <v>0</v>
      </c>
      <c r="Y14" s="19">
        <v>1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>
        <v>1</v>
      </c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24">
        <v>2</v>
      </c>
      <c r="E17" s="19">
        <f t="shared" si="1"/>
        <v>0</v>
      </c>
      <c r="F17" s="19">
        <v>0</v>
      </c>
      <c r="G17" s="21">
        <v>1</v>
      </c>
      <c r="H17" s="19">
        <f t="shared" si="2"/>
        <v>1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1</v>
      </c>
      <c r="N17" s="19">
        <f t="shared" si="6"/>
        <v>1</v>
      </c>
      <c r="O17" s="22"/>
      <c r="P17" s="22"/>
      <c r="Q17" s="25">
        <v>2</v>
      </c>
      <c r="R17" s="19">
        <v>1</v>
      </c>
      <c r="S17" s="19">
        <v>0</v>
      </c>
      <c r="T17" s="19">
        <v>0</v>
      </c>
      <c r="U17" s="19">
        <v>1</v>
      </c>
      <c r="V17" s="19">
        <v>1</v>
      </c>
      <c r="W17" s="19">
        <v>0</v>
      </c>
      <c r="X17" s="19">
        <v>0</v>
      </c>
      <c r="Y17" s="19">
        <v>2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24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6</v>
      </c>
      <c r="D20" s="24">
        <v>6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7</v>
      </c>
      <c r="D22" s="24">
        <v>7</v>
      </c>
      <c r="E22" s="19">
        <f t="shared" si="1"/>
        <v>0</v>
      </c>
      <c r="F22" s="19">
        <v>4</v>
      </c>
      <c r="G22" s="21">
        <v>4</v>
      </c>
      <c r="H22" s="19">
        <f t="shared" si="2"/>
        <v>0</v>
      </c>
      <c r="I22" s="4">
        <v>1</v>
      </c>
      <c r="J22" s="4">
        <v>1</v>
      </c>
      <c r="K22" s="19">
        <f t="shared" si="3"/>
        <v>0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v>3</v>
      </c>
      <c r="X22" s="19">
        <v>1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v>0</v>
      </c>
      <c r="X23" s="19">
        <v>0</v>
      </c>
      <c r="Y23" s="19">
        <v>1</v>
      </c>
      <c r="Z23" s="4">
        <v>2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24</v>
      </c>
      <c r="D25" s="24">
        <v>26</v>
      </c>
      <c r="E25" s="19">
        <f t="shared" si="1"/>
        <v>2</v>
      </c>
      <c r="F25" s="19">
        <v>23</v>
      </c>
      <c r="G25" s="21">
        <v>23</v>
      </c>
      <c r="H25" s="19">
        <f t="shared" si="2"/>
        <v>0</v>
      </c>
      <c r="I25" s="19">
        <v>8</v>
      </c>
      <c r="J25" s="19">
        <v>8</v>
      </c>
      <c r="K25" s="19">
        <f t="shared" si="3"/>
        <v>0</v>
      </c>
      <c r="L25" s="19">
        <f t="shared" si="4"/>
        <v>15</v>
      </c>
      <c r="M25" s="19">
        <f t="shared" si="5"/>
        <v>15</v>
      </c>
      <c r="N25" s="19">
        <f t="shared" si="6"/>
        <v>0</v>
      </c>
      <c r="O25" s="22"/>
      <c r="P25" s="22"/>
      <c r="Q25" s="25">
        <v>12</v>
      </c>
      <c r="R25" s="19">
        <v>5</v>
      </c>
      <c r="S25" s="19">
        <v>1</v>
      </c>
      <c r="T25" s="19">
        <v>0</v>
      </c>
      <c r="U25" s="19">
        <v>2</v>
      </c>
      <c r="V25" s="19">
        <v>4</v>
      </c>
      <c r="W25" s="19">
        <v>6</v>
      </c>
      <c r="X25" s="19">
        <v>1</v>
      </c>
      <c r="Y25" s="19">
        <v>11</v>
      </c>
      <c r="Z25" s="19">
        <v>0</v>
      </c>
      <c r="AA25" s="26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13</v>
      </c>
      <c r="D26" s="24">
        <v>14</v>
      </c>
      <c r="E26" s="19">
        <f t="shared" si="1"/>
        <v>1</v>
      </c>
      <c r="F26" s="19">
        <v>10</v>
      </c>
      <c r="G26" s="21">
        <v>10</v>
      </c>
      <c r="H26" s="19">
        <f t="shared" si="2"/>
        <v>0</v>
      </c>
      <c r="I26" s="19">
        <v>5</v>
      </c>
      <c r="J26" s="19">
        <v>5</v>
      </c>
      <c r="K26" s="19">
        <f t="shared" si="3"/>
        <v>0</v>
      </c>
      <c r="L26" s="19">
        <f t="shared" si="4"/>
        <v>5</v>
      </c>
      <c r="M26" s="19">
        <f t="shared" si="5"/>
        <v>5</v>
      </c>
      <c r="N26" s="19">
        <f t="shared" si="6"/>
        <v>0</v>
      </c>
      <c r="O26" s="22"/>
      <c r="P26" s="22"/>
      <c r="Q26" s="25">
        <v>7</v>
      </c>
      <c r="R26" s="19">
        <v>1</v>
      </c>
      <c r="S26" s="19">
        <v>2</v>
      </c>
      <c r="T26" s="19">
        <v>3</v>
      </c>
      <c r="U26" s="19">
        <v>1</v>
      </c>
      <c r="V26" s="19">
        <v>1</v>
      </c>
      <c r="W26" s="19">
        <v>5</v>
      </c>
      <c r="X26" s="19">
        <v>1</v>
      </c>
      <c r="Y26" s="19">
        <v>5</v>
      </c>
      <c r="Z26" s="19">
        <v>1</v>
      </c>
      <c r="AA26" s="26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5</v>
      </c>
      <c r="G27" s="21">
        <v>6</v>
      </c>
      <c r="H27" s="19">
        <f t="shared" si="2"/>
        <v>1</v>
      </c>
      <c r="I27" s="19">
        <v>1</v>
      </c>
      <c r="J27" s="19">
        <v>2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7</v>
      </c>
      <c r="R27" s="19">
        <v>4</v>
      </c>
      <c r="S27" s="19">
        <v>1</v>
      </c>
      <c r="T27" s="19">
        <v>0</v>
      </c>
      <c r="U27" s="19">
        <v>0</v>
      </c>
      <c r="V27" s="19">
        <v>1</v>
      </c>
      <c r="W27" s="19">
        <v>6</v>
      </c>
      <c r="X27" s="19">
        <v>2</v>
      </c>
      <c r="Y27" s="19">
        <v>1</v>
      </c>
      <c r="Z27" s="19">
        <v>4</v>
      </c>
      <c r="AA27" s="26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6A13-6512-1B48-90DB-6EC9F092B7E5}">
  <dimension ref="A1:XFD37"/>
  <sheetViews>
    <sheetView workbookViewId="0"/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68" style="34" customWidth="1"/>
    <col min="28" max="28" width="17" style="3" customWidth="1"/>
    <col min="29" max="29" width="11.332031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58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15</v>
      </c>
      <c r="F3" s="5" t="s">
        <v>14</v>
      </c>
      <c r="G3" s="7" t="s">
        <v>7</v>
      </c>
      <c r="H3" s="5" t="s">
        <v>59</v>
      </c>
      <c r="I3" s="5" t="s">
        <v>14</v>
      </c>
      <c r="J3" s="5" t="s">
        <v>16</v>
      </c>
      <c r="K3" s="5" t="s">
        <v>60</v>
      </c>
      <c r="L3" s="5" t="s">
        <v>14</v>
      </c>
      <c r="M3" s="5" t="s">
        <v>17</v>
      </c>
      <c r="N3" s="5" t="s">
        <v>60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113</v>
      </c>
      <c r="D4" s="14">
        <f t="shared" si="0"/>
        <v>127</v>
      </c>
      <c r="E4" s="13">
        <f t="shared" si="0"/>
        <v>14</v>
      </c>
      <c r="F4" s="13">
        <f t="shared" si="0"/>
        <v>87</v>
      </c>
      <c r="G4" s="15">
        <f t="shared" si="0"/>
        <v>103</v>
      </c>
      <c r="H4" s="13">
        <f t="shared" si="0"/>
        <v>16</v>
      </c>
      <c r="I4" s="13">
        <f t="shared" si="0"/>
        <v>29</v>
      </c>
      <c r="J4" s="13">
        <f t="shared" si="0"/>
        <v>36</v>
      </c>
      <c r="K4" s="13">
        <f t="shared" si="0"/>
        <v>7</v>
      </c>
      <c r="L4" s="13">
        <f t="shared" si="0"/>
        <v>58</v>
      </c>
      <c r="M4" s="13">
        <f t="shared" si="0"/>
        <v>67</v>
      </c>
      <c r="N4" s="13">
        <f t="shared" si="0"/>
        <v>9</v>
      </c>
      <c r="O4" s="16">
        <f t="shared" si="0"/>
        <v>1</v>
      </c>
      <c r="P4" s="16">
        <f t="shared" si="0"/>
        <v>0</v>
      </c>
      <c r="Q4" s="17">
        <f t="shared" si="0"/>
        <v>77</v>
      </c>
      <c r="R4" s="13">
        <f t="shared" si="0"/>
        <v>30</v>
      </c>
      <c r="S4" s="13">
        <f t="shared" si="0"/>
        <v>9</v>
      </c>
      <c r="T4" s="13">
        <f t="shared" si="0"/>
        <v>9</v>
      </c>
      <c r="U4" s="13">
        <f t="shared" si="0"/>
        <v>12</v>
      </c>
      <c r="V4" s="13">
        <f t="shared" si="0"/>
        <v>32</v>
      </c>
      <c r="W4" s="13">
        <f t="shared" si="0"/>
        <v>33</v>
      </c>
      <c r="X4" s="13">
        <f t="shared" si="0"/>
        <v>7</v>
      </c>
      <c r="Y4" s="13">
        <f t="shared" si="0"/>
        <v>56</v>
      </c>
      <c r="Z4" s="13">
        <f t="shared" si="0"/>
        <v>14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24">
        <v>17</v>
      </c>
      <c r="E6" s="19">
        <f t="shared" ref="E6:E27" si="1">D6-C6</f>
        <v>2</v>
      </c>
      <c r="F6" s="19">
        <v>15</v>
      </c>
      <c r="G6" s="21">
        <v>15</v>
      </c>
      <c r="H6" s="19">
        <f t="shared" ref="H6:H27" si="2">G6-F6</f>
        <v>0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8</v>
      </c>
      <c r="N6" s="19">
        <f t="shared" ref="N6:N27" si="6">M6-L6</f>
        <v>0</v>
      </c>
      <c r="O6" s="22"/>
      <c r="P6" s="22"/>
      <c r="Q6" s="25">
        <v>9</v>
      </c>
      <c r="R6" s="19">
        <v>2</v>
      </c>
      <c r="S6" s="19">
        <v>2</v>
      </c>
      <c r="T6" s="19">
        <v>2</v>
      </c>
      <c r="U6" s="19">
        <v>3</v>
      </c>
      <c r="V6" s="19">
        <v>5</v>
      </c>
      <c r="W6" s="19">
        <v>1</v>
      </c>
      <c r="X6" s="19">
        <v>0</v>
      </c>
      <c r="Y6" s="19">
        <v>9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5</v>
      </c>
      <c r="D7" s="24">
        <v>6</v>
      </c>
      <c r="E7" s="19">
        <f t="shared" si="1"/>
        <v>1</v>
      </c>
      <c r="F7" s="19">
        <v>5</v>
      </c>
      <c r="G7" s="21">
        <v>6</v>
      </c>
      <c r="H7" s="19">
        <f t="shared" si="2"/>
        <v>1</v>
      </c>
      <c r="I7" s="19">
        <v>2</v>
      </c>
      <c r="J7" s="19">
        <v>2</v>
      </c>
      <c r="K7" s="19">
        <f t="shared" si="3"/>
        <v>0</v>
      </c>
      <c r="L7" s="19">
        <f t="shared" si="4"/>
        <v>3</v>
      </c>
      <c r="M7" s="19">
        <f t="shared" si="5"/>
        <v>4</v>
      </c>
      <c r="N7" s="19">
        <f t="shared" si="6"/>
        <v>1</v>
      </c>
      <c r="O7" s="22"/>
      <c r="P7" s="22"/>
      <c r="Q7" s="25">
        <v>3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v>2</v>
      </c>
      <c r="X7" s="19">
        <v>0</v>
      </c>
      <c r="Y7" s="19">
        <v>3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24">
        <v>9</v>
      </c>
      <c r="E8" s="19">
        <f t="shared" si="1"/>
        <v>1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5</v>
      </c>
      <c r="D9" s="24">
        <v>6</v>
      </c>
      <c r="E9" s="19">
        <f t="shared" si="1"/>
        <v>1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5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3</v>
      </c>
      <c r="X9" s="19">
        <v>1</v>
      </c>
      <c r="Y9" s="19">
        <v>4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1</v>
      </c>
      <c r="D10" s="24">
        <v>2</v>
      </c>
      <c r="E10" s="19">
        <f t="shared" si="1"/>
        <v>1</v>
      </c>
      <c r="F10" s="19">
        <v>5</v>
      </c>
      <c r="G10" s="21">
        <v>7</v>
      </c>
      <c r="H10" s="19">
        <f t="shared" si="2"/>
        <v>2</v>
      </c>
      <c r="I10" s="19">
        <v>1</v>
      </c>
      <c r="J10" s="19">
        <v>2</v>
      </c>
      <c r="K10" s="19">
        <f t="shared" si="3"/>
        <v>1</v>
      </c>
      <c r="L10" s="19">
        <f t="shared" si="4"/>
        <v>4</v>
      </c>
      <c r="M10" s="19">
        <f t="shared" si="5"/>
        <v>5</v>
      </c>
      <c r="N10" s="19">
        <f t="shared" si="6"/>
        <v>1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24">
        <v>4</v>
      </c>
      <c r="E13" s="19">
        <f t="shared" si="1"/>
        <v>1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24">
        <v>2</v>
      </c>
      <c r="E14" s="19">
        <f t="shared" si="1"/>
        <v>0</v>
      </c>
      <c r="F14" s="19">
        <v>1</v>
      </c>
      <c r="G14" s="21">
        <v>2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2</v>
      </c>
      <c r="N14" s="19">
        <f t="shared" si="6"/>
        <v>1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0</v>
      </c>
      <c r="X14" s="19">
        <v>0</v>
      </c>
      <c r="Y14" s="19">
        <v>1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0</v>
      </c>
      <c r="G15" s="21">
        <v>1</v>
      </c>
      <c r="H15" s="19">
        <f t="shared" si="2"/>
        <v>1</v>
      </c>
      <c r="I15" s="19">
        <v>0</v>
      </c>
      <c r="J15" s="19">
        <v>1</v>
      </c>
      <c r="K15" s="19">
        <f t="shared" si="3"/>
        <v>1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24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24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5</v>
      </c>
      <c r="D20" s="24">
        <v>6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24">
        <v>7</v>
      </c>
      <c r="E22" s="19">
        <f t="shared" si="1"/>
        <v>3</v>
      </c>
      <c r="F22" s="19">
        <v>2</v>
      </c>
      <c r="G22" s="21">
        <v>4</v>
      </c>
      <c r="H22" s="19">
        <f t="shared" si="2"/>
        <v>2</v>
      </c>
      <c r="I22" s="4">
        <v>0</v>
      </c>
      <c r="J22" s="4">
        <v>1</v>
      </c>
      <c r="K22" s="19">
        <f t="shared" si="3"/>
        <v>1</v>
      </c>
      <c r="L22" s="19">
        <f t="shared" si="4"/>
        <v>2</v>
      </c>
      <c r="M22" s="19">
        <f t="shared" si="5"/>
        <v>3</v>
      </c>
      <c r="N22" s="19">
        <f t="shared" si="6"/>
        <v>1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v>3</v>
      </c>
      <c r="X22" s="19">
        <v>1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v>0</v>
      </c>
      <c r="X23" s="19">
        <v>0</v>
      </c>
      <c r="Y23" s="19">
        <v>1</v>
      </c>
      <c r="Z23" s="4">
        <v>2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22</v>
      </c>
      <c r="D25" s="24">
        <v>24</v>
      </c>
      <c r="E25" s="19">
        <f t="shared" si="1"/>
        <v>2</v>
      </c>
      <c r="F25" s="19">
        <v>19</v>
      </c>
      <c r="G25" s="21">
        <v>23</v>
      </c>
      <c r="H25" s="19">
        <f t="shared" si="2"/>
        <v>4</v>
      </c>
      <c r="I25" s="19">
        <v>7</v>
      </c>
      <c r="J25" s="19">
        <v>8</v>
      </c>
      <c r="K25" s="19">
        <f t="shared" si="3"/>
        <v>1</v>
      </c>
      <c r="L25" s="19">
        <f t="shared" si="4"/>
        <v>12</v>
      </c>
      <c r="M25" s="19">
        <f t="shared" si="5"/>
        <v>15</v>
      </c>
      <c r="N25" s="19">
        <f t="shared" si="6"/>
        <v>3</v>
      </c>
      <c r="O25" s="22"/>
      <c r="P25" s="22"/>
      <c r="Q25" s="25">
        <v>10</v>
      </c>
      <c r="R25" s="19">
        <v>5</v>
      </c>
      <c r="S25" s="19">
        <v>0</v>
      </c>
      <c r="T25" s="19">
        <v>0</v>
      </c>
      <c r="U25" s="19">
        <v>2</v>
      </c>
      <c r="V25" s="19">
        <v>4</v>
      </c>
      <c r="W25" s="19">
        <v>4</v>
      </c>
      <c r="X25" s="19">
        <v>1</v>
      </c>
      <c r="Y25" s="19">
        <v>9</v>
      </c>
      <c r="Z25" s="19">
        <v>0</v>
      </c>
      <c r="AA25" s="26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12</v>
      </c>
      <c r="D26" s="24">
        <v>13</v>
      </c>
      <c r="E26" s="19">
        <f t="shared" si="1"/>
        <v>1</v>
      </c>
      <c r="F26" s="19">
        <v>6</v>
      </c>
      <c r="G26" s="21">
        <v>10</v>
      </c>
      <c r="H26" s="19">
        <f t="shared" si="2"/>
        <v>4</v>
      </c>
      <c r="I26" s="19">
        <v>3</v>
      </c>
      <c r="J26" s="19">
        <v>5</v>
      </c>
      <c r="K26" s="19">
        <f t="shared" si="3"/>
        <v>2</v>
      </c>
      <c r="L26" s="19">
        <f t="shared" si="4"/>
        <v>3</v>
      </c>
      <c r="M26" s="19">
        <f t="shared" si="5"/>
        <v>5</v>
      </c>
      <c r="N26" s="19">
        <f t="shared" si="6"/>
        <v>2</v>
      </c>
      <c r="O26" s="22"/>
      <c r="P26" s="22"/>
      <c r="Q26" s="25">
        <v>6</v>
      </c>
      <c r="R26" s="19">
        <v>2</v>
      </c>
      <c r="S26" s="19">
        <v>2</v>
      </c>
      <c r="T26" s="19">
        <v>1</v>
      </c>
      <c r="U26" s="19">
        <v>1</v>
      </c>
      <c r="V26" s="19">
        <v>1</v>
      </c>
      <c r="W26" s="19">
        <v>4</v>
      </c>
      <c r="X26" s="19">
        <v>1</v>
      </c>
      <c r="Y26" s="19">
        <v>4</v>
      </c>
      <c r="Z26" s="19">
        <v>1</v>
      </c>
      <c r="AA26" s="26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4</v>
      </c>
      <c r="G27" s="21">
        <v>5</v>
      </c>
      <c r="H27" s="19">
        <f t="shared" si="2"/>
        <v>1</v>
      </c>
      <c r="I27" s="19">
        <v>0</v>
      </c>
      <c r="J27" s="19">
        <v>1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v>6</v>
      </c>
      <c r="X27" s="19">
        <v>2</v>
      </c>
      <c r="Y27" s="19">
        <v>2</v>
      </c>
      <c r="Z27" s="19">
        <v>4</v>
      </c>
      <c r="AA27" s="26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DD74-6C9E-9943-B115-141573DE4C97}">
  <dimension ref="A1:XFD37"/>
  <sheetViews>
    <sheetView workbookViewId="0"/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161.5" style="34" customWidth="1"/>
    <col min="28" max="29" width="11.332031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61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59</v>
      </c>
      <c r="F3" s="5" t="s">
        <v>14</v>
      </c>
      <c r="G3" s="7" t="s">
        <v>7</v>
      </c>
      <c r="H3" s="5" t="s">
        <v>59</v>
      </c>
      <c r="I3" s="5" t="s">
        <v>14</v>
      </c>
      <c r="J3" s="5" t="s">
        <v>16</v>
      </c>
      <c r="K3" s="5" t="s">
        <v>59</v>
      </c>
      <c r="L3" s="5" t="s">
        <v>14</v>
      </c>
      <c r="M3" s="5" t="s">
        <v>17</v>
      </c>
      <c r="N3" s="5" t="s">
        <v>59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113</v>
      </c>
      <c r="D4" s="14">
        <f t="shared" si="0"/>
        <v>121</v>
      </c>
      <c r="E4" s="13">
        <f t="shared" si="0"/>
        <v>8</v>
      </c>
      <c r="F4" s="13">
        <f t="shared" si="0"/>
        <v>87</v>
      </c>
      <c r="G4" s="15">
        <f t="shared" si="0"/>
        <v>99</v>
      </c>
      <c r="H4" s="13">
        <f t="shared" si="0"/>
        <v>12</v>
      </c>
      <c r="I4" s="13">
        <f t="shared" si="0"/>
        <v>29</v>
      </c>
      <c r="J4" s="13">
        <f t="shared" si="0"/>
        <v>34</v>
      </c>
      <c r="K4" s="13">
        <f t="shared" si="0"/>
        <v>5</v>
      </c>
      <c r="L4" s="13">
        <f t="shared" si="0"/>
        <v>58</v>
      </c>
      <c r="M4" s="13">
        <f t="shared" si="0"/>
        <v>65</v>
      </c>
      <c r="N4" s="13">
        <f t="shared" si="0"/>
        <v>7</v>
      </c>
      <c r="O4" s="16">
        <f t="shared" si="0"/>
        <v>1</v>
      </c>
      <c r="P4" s="16">
        <f t="shared" si="0"/>
        <v>0</v>
      </c>
      <c r="Q4" s="17">
        <f t="shared" si="0"/>
        <v>75</v>
      </c>
      <c r="R4" s="13">
        <f t="shared" si="0"/>
        <v>27</v>
      </c>
      <c r="S4" s="13">
        <f t="shared" si="0"/>
        <v>10</v>
      </c>
      <c r="T4" s="13">
        <f t="shared" si="0"/>
        <v>7</v>
      </c>
      <c r="U4" s="13">
        <f t="shared" si="0"/>
        <v>12</v>
      </c>
      <c r="V4" s="13">
        <f t="shared" si="0"/>
        <v>30</v>
      </c>
      <c r="W4" s="13">
        <f t="shared" si="0"/>
        <v>33</v>
      </c>
      <c r="X4" s="13">
        <f t="shared" si="0"/>
        <v>7</v>
      </c>
      <c r="Y4" s="13">
        <f t="shared" si="0"/>
        <v>53</v>
      </c>
      <c r="Z4" s="13">
        <f t="shared" si="0"/>
        <v>15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45">
        <v>17</v>
      </c>
      <c r="E6" s="19">
        <f t="shared" ref="E6:E27" si="1">D6-C6</f>
        <v>2</v>
      </c>
      <c r="F6" s="19">
        <v>15</v>
      </c>
      <c r="G6" s="21">
        <v>15</v>
      </c>
      <c r="H6" s="19">
        <f t="shared" ref="H6:H27" si="2">G6-F6</f>
        <v>0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8</v>
      </c>
      <c r="N6" s="19">
        <f t="shared" ref="N6:N27" si="6">M6-L6</f>
        <v>0</v>
      </c>
      <c r="O6" s="22"/>
      <c r="P6" s="22"/>
      <c r="Q6" s="25">
        <v>9</v>
      </c>
      <c r="R6" s="19">
        <v>2</v>
      </c>
      <c r="S6" s="19">
        <v>2</v>
      </c>
      <c r="T6" s="19">
        <v>2</v>
      </c>
      <c r="U6" s="19">
        <v>3</v>
      </c>
      <c r="V6" s="19">
        <v>5</v>
      </c>
      <c r="W6" s="19">
        <f t="shared" ref="W6:W27" si="7">Q6-U6-V6</f>
        <v>1</v>
      </c>
      <c r="X6" s="19">
        <v>0</v>
      </c>
      <c r="Y6" s="19">
        <v>9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5</v>
      </c>
      <c r="D7" s="46">
        <v>5</v>
      </c>
      <c r="E7" s="19">
        <f t="shared" si="1"/>
        <v>0</v>
      </c>
      <c r="F7" s="19">
        <v>5</v>
      </c>
      <c r="G7" s="21">
        <v>6</v>
      </c>
      <c r="H7" s="19">
        <f t="shared" si="2"/>
        <v>1</v>
      </c>
      <c r="I7" s="19">
        <v>2</v>
      </c>
      <c r="J7" s="19">
        <v>2</v>
      </c>
      <c r="K7" s="19">
        <f t="shared" si="3"/>
        <v>0</v>
      </c>
      <c r="L7" s="19">
        <f t="shared" si="4"/>
        <v>3</v>
      </c>
      <c r="M7" s="19">
        <f t="shared" si="5"/>
        <v>4</v>
      </c>
      <c r="N7" s="19">
        <f t="shared" si="6"/>
        <v>1</v>
      </c>
      <c r="O7" s="22"/>
      <c r="P7" s="22"/>
      <c r="Q7" s="25">
        <v>2</v>
      </c>
      <c r="R7" s="19">
        <v>0</v>
      </c>
      <c r="S7" s="19">
        <v>1</v>
      </c>
      <c r="T7" s="19">
        <v>0</v>
      </c>
      <c r="U7" s="19">
        <v>0</v>
      </c>
      <c r="V7" s="19">
        <v>0</v>
      </c>
      <c r="W7" s="19">
        <f t="shared" si="7"/>
        <v>2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46">
        <v>8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8</v>
      </c>
      <c r="R8" s="19">
        <v>3</v>
      </c>
      <c r="S8" s="19">
        <v>0</v>
      </c>
      <c r="T8" s="19">
        <v>1</v>
      </c>
      <c r="U8" s="19">
        <v>1</v>
      </c>
      <c r="V8" s="19">
        <v>3</v>
      </c>
      <c r="W8" s="19">
        <f t="shared" si="7"/>
        <v>4</v>
      </c>
      <c r="X8" s="19">
        <v>1</v>
      </c>
      <c r="Y8" s="19">
        <v>5</v>
      </c>
      <c r="Z8" s="4">
        <v>2</v>
      </c>
      <c r="AA8" s="5"/>
    </row>
    <row r="9" spans="1:27" s="8" customFormat="1" ht="17" customHeight="1">
      <c r="A9" s="23" t="s">
        <v>32</v>
      </c>
      <c r="B9" s="19">
        <v>2</v>
      </c>
      <c r="C9" s="19">
        <v>5</v>
      </c>
      <c r="D9" s="46">
        <v>5</v>
      </c>
      <c r="E9" s="19">
        <f t="shared" si="1"/>
        <v>0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4</v>
      </c>
      <c r="R9" s="19">
        <v>0</v>
      </c>
      <c r="S9" s="19">
        <v>2</v>
      </c>
      <c r="T9" s="19">
        <v>0</v>
      </c>
      <c r="U9" s="19">
        <v>0</v>
      </c>
      <c r="V9" s="19">
        <v>2</v>
      </c>
      <c r="W9" s="19">
        <f t="shared" si="7"/>
        <v>2</v>
      </c>
      <c r="X9" s="19">
        <v>0</v>
      </c>
      <c r="Y9" s="19">
        <v>4</v>
      </c>
      <c r="Z9" s="19">
        <v>0</v>
      </c>
      <c r="AA9" s="5"/>
    </row>
    <row r="10" spans="1:27" s="8" customFormat="1" ht="17" customHeight="1">
      <c r="A10" s="23" t="s">
        <v>33</v>
      </c>
      <c r="B10" s="19">
        <v>5</v>
      </c>
      <c r="C10" s="19">
        <v>1</v>
      </c>
      <c r="D10" s="45">
        <v>2</v>
      </c>
      <c r="E10" s="19">
        <f t="shared" si="1"/>
        <v>1</v>
      </c>
      <c r="F10" s="19">
        <v>5</v>
      </c>
      <c r="G10" s="21">
        <v>7</v>
      </c>
      <c r="H10" s="19">
        <f t="shared" si="2"/>
        <v>2</v>
      </c>
      <c r="I10" s="19">
        <v>1</v>
      </c>
      <c r="J10" s="19">
        <v>2</v>
      </c>
      <c r="K10" s="19">
        <f t="shared" si="3"/>
        <v>1</v>
      </c>
      <c r="L10" s="19">
        <f t="shared" si="4"/>
        <v>4</v>
      </c>
      <c r="M10" s="19">
        <f t="shared" si="5"/>
        <v>5</v>
      </c>
      <c r="N10" s="19">
        <f t="shared" si="6"/>
        <v>1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f t="shared" si="7"/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46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f t="shared" si="7"/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46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f t="shared" si="7"/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46">
        <v>4</v>
      </c>
      <c r="E13" s="19">
        <f t="shared" si="1"/>
        <v>1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f t="shared" si="7"/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46">
        <v>2</v>
      </c>
      <c r="E14" s="19">
        <f t="shared" si="1"/>
        <v>0</v>
      </c>
      <c r="F14" s="19">
        <v>1</v>
      </c>
      <c r="G14" s="45">
        <v>2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2</v>
      </c>
      <c r="N14" s="19">
        <f t="shared" si="6"/>
        <v>1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f t="shared" si="7"/>
        <v>0</v>
      </c>
      <c r="X14" s="19">
        <v>0</v>
      </c>
      <c r="Y14" s="19">
        <v>1</v>
      </c>
      <c r="Z14" s="19">
        <v>0</v>
      </c>
      <c r="AA14" s="5"/>
    </row>
    <row r="15" spans="1:27" s="8" customFormat="1" ht="17" customHeight="1">
      <c r="A15" s="23" t="s">
        <v>38</v>
      </c>
      <c r="B15" s="19">
        <v>0</v>
      </c>
      <c r="C15" s="19">
        <v>2</v>
      </c>
      <c r="D15" s="46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f t="shared" si="7"/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39</v>
      </c>
      <c r="B16" s="19">
        <v>2</v>
      </c>
      <c r="C16" s="19">
        <v>3</v>
      </c>
      <c r="D16" s="46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f t="shared" si="7"/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46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f t="shared" si="7"/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46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f t="shared" si="7"/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46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f t="shared" si="7"/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43</v>
      </c>
      <c r="B20" s="19">
        <v>1</v>
      </c>
      <c r="C20" s="19">
        <v>5</v>
      </c>
      <c r="D20" s="46">
        <v>6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f t="shared" si="7"/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46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f t="shared" si="7"/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46">
        <v>6</v>
      </c>
      <c r="E22" s="19">
        <f t="shared" si="1"/>
        <v>2</v>
      </c>
      <c r="F22" s="19">
        <v>2</v>
      </c>
      <c r="G22" s="21">
        <v>3</v>
      </c>
      <c r="H22" s="19">
        <f t="shared" si="2"/>
        <v>1</v>
      </c>
      <c r="I22" s="4">
        <v>0</v>
      </c>
      <c r="J22" s="4">
        <v>1</v>
      </c>
      <c r="K22" s="19">
        <f t="shared" si="3"/>
        <v>1</v>
      </c>
      <c r="L22" s="19">
        <f t="shared" si="4"/>
        <v>2</v>
      </c>
      <c r="M22" s="19">
        <f t="shared" si="5"/>
        <v>2</v>
      </c>
      <c r="N22" s="19">
        <f t="shared" si="6"/>
        <v>0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f t="shared" si="7"/>
        <v>3</v>
      </c>
      <c r="X22" s="19">
        <v>1</v>
      </c>
      <c r="Y22" s="19">
        <v>4</v>
      </c>
      <c r="Z22" s="4">
        <v>1</v>
      </c>
      <c r="AA22" s="5"/>
    </row>
    <row r="23" spans="1:45" s="8" customFormat="1" ht="17" customHeight="1">
      <c r="A23" s="23" t="s">
        <v>46</v>
      </c>
      <c r="B23" s="19">
        <v>3</v>
      </c>
      <c r="C23" s="19">
        <v>6</v>
      </c>
      <c r="D23" s="46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f t="shared" si="7"/>
        <v>0</v>
      </c>
      <c r="X23" s="19">
        <v>0</v>
      </c>
      <c r="Y23" s="19">
        <v>1</v>
      </c>
      <c r="Z23" s="4">
        <v>2</v>
      </c>
      <c r="AA23" s="5"/>
    </row>
    <row r="24" spans="1:45" s="8" customFormat="1" ht="17" customHeight="1">
      <c r="A24" s="23" t="s">
        <v>47</v>
      </c>
      <c r="B24" s="19">
        <v>2</v>
      </c>
      <c r="C24" s="19">
        <v>1</v>
      </c>
      <c r="D24" s="46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f t="shared" si="7"/>
        <v>0</v>
      </c>
      <c r="X24" s="19">
        <v>0</v>
      </c>
      <c r="Y24" s="19">
        <v>0</v>
      </c>
      <c r="Z24" s="19">
        <v>0</v>
      </c>
      <c r="AA24" s="5"/>
    </row>
    <row r="25" spans="1:45" s="8" customFormat="1" ht="14">
      <c r="A25" s="23" t="s">
        <v>48</v>
      </c>
      <c r="B25" s="19">
        <v>9</v>
      </c>
      <c r="C25" s="19">
        <v>22</v>
      </c>
      <c r="D25" s="46">
        <v>23</v>
      </c>
      <c r="E25" s="19">
        <f t="shared" si="1"/>
        <v>1</v>
      </c>
      <c r="F25" s="19">
        <v>19</v>
      </c>
      <c r="G25" s="21">
        <v>23</v>
      </c>
      <c r="H25" s="19">
        <f t="shared" si="2"/>
        <v>4</v>
      </c>
      <c r="I25" s="19">
        <v>7</v>
      </c>
      <c r="J25" s="19">
        <v>8</v>
      </c>
      <c r="K25" s="19">
        <f t="shared" si="3"/>
        <v>1</v>
      </c>
      <c r="L25" s="19">
        <f t="shared" si="4"/>
        <v>12</v>
      </c>
      <c r="M25" s="19">
        <f t="shared" si="5"/>
        <v>15</v>
      </c>
      <c r="N25" s="19">
        <f t="shared" si="6"/>
        <v>3</v>
      </c>
      <c r="O25" s="22"/>
      <c r="P25" s="22"/>
      <c r="Q25" s="25">
        <v>9</v>
      </c>
      <c r="R25" s="19">
        <v>4</v>
      </c>
      <c r="S25" s="19">
        <v>0</v>
      </c>
      <c r="T25" s="19">
        <v>0</v>
      </c>
      <c r="U25" s="19">
        <v>2</v>
      </c>
      <c r="V25" s="19">
        <v>3</v>
      </c>
      <c r="W25" s="19">
        <f t="shared" si="7"/>
        <v>4</v>
      </c>
      <c r="X25" s="19">
        <v>1</v>
      </c>
      <c r="Y25" s="19">
        <v>8</v>
      </c>
      <c r="Z25" s="19">
        <v>0</v>
      </c>
      <c r="AA25" s="26"/>
      <c r="AB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12</v>
      </c>
      <c r="D26" s="46">
        <v>12</v>
      </c>
      <c r="E26" s="19">
        <f t="shared" si="1"/>
        <v>0</v>
      </c>
      <c r="F26" s="19">
        <v>6</v>
      </c>
      <c r="G26" s="45">
        <v>8</v>
      </c>
      <c r="H26" s="19">
        <f t="shared" si="2"/>
        <v>2</v>
      </c>
      <c r="I26" s="19">
        <v>3</v>
      </c>
      <c r="J26" s="19">
        <v>4</v>
      </c>
      <c r="K26" s="19">
        <f t="shared" si="3"/>
        <v>1</v>
      </c>
      <c r="L26" s="19">
        <f t="shared" si="4"/>
        <v>3</v>
      </c>
      <c r="M26" s="19">
        <f t="shared" si="5"/>
        <v>4</v>
      </c>
      <c r="N26" s="19">
        <f t="shared" si="6"/>
        <v>1</v>
      </c>
      <c r="O26" s="22"/>
      <c r="P26" s="22"/>
      <c r="Q26" s="25">
        <v>7</v>
      </c>
      <c r="R26" s="19">
        <v>1</v>
      </c>
      <c r="S26" s="19">
        <v>3</v>
      </c>
      <c r="T26" s="19">
        <v>1</v>
      </c>
      <c r="U26" s="19">
        <v>1</v>
      </c>
      <c r="V26" s="19">
        <v>2</v>
      </c>
      <c r="W26" s="19">
        <f t="shared" si="7"/>
        <v>4</v>
      </c>
      <c r="X26" s="19">
        <v>2</v>
      </c>
      <c r="Y26" s="19">
        <v>4</v>
      </c>
      <c r="Z26" s="19">
        <v>1</v>
      </c>
      <c r="AA26" s="26"/>
      <c r="AB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10</v>
      </c>
      <c r="D27" s="46">
        <v>10</v>
      </c>
      <c r="E27" s="19">
        <f t="shared" si="1"/>
        <v>0</v>
      </c>
      <c r="F27" s="19">
        <v>4</v>
      </c>
      <c r="G27" s="21">
        <v>5</v>
      </c>
      <c r="H27" s="19">
        <f t="shared" si="2"/>
        <v>1</v>
      </c>
      <c r="I27" s="19">
        <v>0</v>
      </c>
      <c r="J27" s="19">
        <v>1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f t="shared" si="7"/>
        <v>6</v>
      </c>
      <c r="X27" s="19">
        <v>2</v>
      </c>
      <c r="Y27" s="19">
        <v>2</v>
      </c>
      <c r="Z27" s="19">
        <v>4</v>
      </c>
      <c r="AA27" s="26"/>
      <c r="AB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C939-D461-A143-AB82-071139CFC62A}">
  <dimension ref="A1:XFD37"/>
  <sheetViews>
    <sheetView workbookViewId="0"/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161.5" style="34" customWidth="1"/>
    <col min="28" max="29" width="11.332031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62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59</v>
      </c>
      <c r="F3" s="5" t="s">
        <v>14</v>
      </c>
      <c r="G3" s="7" t="s">
        <v>7</v>
      </c>
      <c r="H3" s="5" t="s">
        <v>59</v>
      </c>
      <c r="I3" s="5" t="s">
        <v>14</v>
      </c>
      <c r="J3" s="5" t="s">
        <v>16</v>
      </c>
      <c r="K3" s="5" t="s">
        <v>59</v>
      </c>
      <c r="L3" s="5" t="s">
        <v>14</v>
      </c>
      <c r="M3" s="5" t="s">
        <v>17</v>
      </c>
      <c r="N3" s="5" t="s">
        <v>59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>SUM(B6:B27)</f>
        <v>53</v>
      </c>
      <c r="C4" s="13">
        <v>104</v>
      </c>
      <c r="D4" s="14">
        <f>SUM(D6:D27)</f>
        <v>113</v>
      </c>
      <c r="E4" s="13">
        <f>SUM(E6:E27)</f>
        <v>9</v>
      </c>
      <c r="F4" s="13">
        <v>76</v>
      </c>
      <c r="G4" s="15">
        <f>SUM(G6:G27)</f>
        <v>87</v>
      </c>
      <c r="H4" s="13">
        <f>SUM(H6:H27)</f>
        <v>11</v>
      </c>
      <c r="I4" s="13">
        <v>25</v>
      </c>
      <c r="J4" s="13">
        <f>SUM(J6:J27)</f>
        <v>29</v>
      </c>
      <c r="K4" s="13">
        <f>SUM(K6:K27)</f>
        <v>4</v>
      </c>
      <c r="L4" s="13">
        <v>51</v>
      </c>
      <c r="M4" s="13">
        <f t="shared" ref="M4:Z4" si="0">SUM(M6:M27)</f>
        <v>58</v>
      </c>
      <c r="N4" s="13">
        <f t="shared" si="0"/>
        <v>7</v>
      </c>
      <c r="O4" s="16">
        <f t="shared" si="0"/>
        <v>1</v>
      </c>
      <c r="P4" s="16">
        <f t="shared" si="0"/>
        <v>0</v>
      </c>
      <c r="Q4" s="17">
        <f t="shared" si="0"/>
        <v>79</v>
      </c>
      <c r="R4" s="13">
        <f t="shared" si="0"/>
        <v>31</v>
      </c>
      <c r="S4" s="13">
        <f t="shared" si="0"/>
        <v>7</v>
      </c>
      <c r="T4" s="13">
        <f t="shared" si="0"/>
        <v>7</v>
      </c>
      <c r="U4" s="13">
        <f t="shared" si="0"/>
        <v>10</v>
      </c>
      <c r="V4" s="13">
        <f t="shared" si="0"/>
        <v>30</v>
      </c>
      <c r="W4" s="13">
        <f t="shared" si="0"/>
        <v>39</v>
      </c>
      <c r="X4" s="13">
        <f t="shared" si="0"/>
        <v>7</v>
      </c>
      <c r="Y4" s="13">
        <f t="shared" si="0"/>
        <v>55</v>
      </c>
      <c r="Z4" s="13">
        <f t="shared" si="0"/>
        <v>17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3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46">
        <v>15</v>
      </c>
      <c r="E6" s="19">
        <f t="shared" ref="E6:E27" si="1">D6-C6</f>
        <v>0</v>
      </c>
      <c r="F6" s="19">
        <v>12</v>
      </c>
      <c r="G6" s="21">
        <v>15</v>
      </c>
      <c r="H6" s="19">
        <f t="shared" ref="H6:H27" si="2">G6-F6</f>
        <v>3</v>
      </c>
      <c r="I6" s="19">
        <v>5</v>
      </c>
      <c r="J6" s="19">
        <v>7</v>
      </c>
      <c r="K6" s="19">
        <f t="shared" ref="K6:K27" si="3">J6-I6</f>
        <v>2</v>
      </c>
      <c r="L6" s="19">
        <v>7</v>
      </c>
      <c r="M6" s="19">
        <f t="shared" ref="M6:M27" si="4">G6-J6</f>
        <v>8</v>
      </c>
      <c r="N6" s="19">
        <f t="shared" ref="N6:N27" si="5">M6-L6</f>
        <v>1</v>
      </c>
      <c r="O6" s="22"/>
      <c r="P6" s="22"/>
      <c r="Q6" s="25">
        <v>7</v>
      </c>
      <c r="R6" s="19">
        <v>2</v>
      </c>
      <c r="S6" s="19">
        <v>2</v>
      </c>
      <c r="T6" s="19">
        <v>1</v>
      </c>
      <c r="U6" s="19">
        <v>2</v>
      </c>
      <c r="V6" s="19">
        <v>4</v>
      </c>
      <c r="W6" s="19">
        <f t="shared" ref="W6:W27" si="6">Q6-U6-V6</f>
        <v>1</v>
      </c>
      <c r="X6" s="19">
        <v>0</v>
      </c>
      <c r="Y6" s="19">
        <v>7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5</v>
      </c>
      <c r="D7" s="46">
        <v>5</v>
      </c>
      <c r="E7" s="19">
        <f t="shared" si="1"/>
        <v>0</v>
      </c>
      <c r="F7" s="19">
        <v>3</v>
      </c>
      <c r="G7" s="21">
        <v>5</v>
      </c>
      <c r="H7" s="19">
        <f t="shared" si="2"/>
        <v>2</v>
      </c>
      <c r="I7" s="19">
        <v>1</v>
      </c>
      <c r="J7" s="19">
        <v>2</v>
      </c>
      <c r="K7" s="19">
        <f t="shared" si="3"/>
        <v>1</v>
      </c>
      <c r="L7" s="19">
        <v>2</v>
      </c>
      <c r="M7" s="19">
        <f t="shared" si="4"/>
        <v>3</v>
      </c>
      <c r="N7" s="19">
        <f t="shared" si="5"/>
        <v>1</v>
      </c>
      <c r="O7" s="22"/>
      <c r="P7" s="22"/>
      <c r="Q7" s="25">
        <v>3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f t="shared" si="6"/>
        <v>2</v>
      </c>
      <c r="X7" s="19">
        <v>0</v>
      </c>
      <c r="Y7" s="19">
        <v>3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46">
        <v>8</v>
      </c>
      <c r="E8" s="19">
        <f t="shared" si="1"/>
        <v>0</v>
      </c>
      <c r="F8" s="19">
        <v>3</v>
      </c>
      <c r="G8" s="21">
        <v>4</v>
      </c>
      <c r="H8" s="19">
        <f t="shared" si="2"/>
        <v>1</v>
      </c>
      <c r="I8" s="19">
        <v>0</v>
      </c>
      <c r="J8" s="19">
        <v>0</v>
      </c>
      <c r="K8" s="19">
        <f t="shared" si="3"/>
        <v>0</v>
      </c>
      <c r="L8" s="19">
        <v>3</v>
      </c>
      <c r="M8" s="19">
        <f t="shared" si="4"/>
        <v>4</v>
      </c>
      <c r="N8" s="19">
        <f t="shared" si="5"/>
        <v>1</v>
      </c>
      <c r="O8" s="22"/>
      <c r="P8" s="22"/>
      <c r="Q8" s="25">
        <v>8</v>
      </c>
      <c r="R8" s="19">
        <v>3</v>
      </c>
      <c r="S8" s="19">
        <v>0</v>
      </c>
      <c r="T8" s="19">
        <v>1</v>
      </c>
      <c r="U8" s="19">
        <v>1</v>
      </c>
      <c r="V8" s="19">
        <v>3</v>
      </c>
      <c r="W8" s="19">
        <f t="shared" si="6"/>
        <v>4</v>
      </c>
      <c r="X8" s="19">
        <v>1</v>
      </c>
      <c r="Y8" s="19">
        <v>5</v>
      </c>
      <c r="Z8" s="4">
        <v>2</v>
      </c>
      <c r="AA8" s="5"/>
    </row>
    <row r="9" spans="1:27" s="8" customFormat="1" ht="17" customHeight="1">
      <c r="A9" s="23" t="s">
        <v>32</v>
      </c>
      <c r="B9" s="19">
        <v>2</v>
      </c>
      <c r="C9" s="19">
        <v>4</v>
      </c>
      <c r="D9" s="46">
        <v>5</v>
      </c>
      <c r="E9" s="19">
        <f t="shared" si="1"/>
        <v>1</v>
      </c>
      <c r="F9" s="19">
        <v>2</v>
      </c>
      <c r="G9" s="21">
        <v>3</v>
      </c>
      <c r="H9" s="19">
        <f t="shared" si="2"/>
        <v>1</v>
      </c>
      <c r="I9" s="19">
        <v>0</v>
      </c>
      <c r="J9" s="19">
        <v>0</v>
      </c>
      <c r="K9" s="19">
        <f t="shared" si="3"/>
        <v>0</v>
      </c>
      <c r="L9" s="19">
        <v>2</v>
      </c>
      <c r="M9" s="19">
        <f t="shared" si="4"/>
        <v>3</v>
      </c>
      <c r="N9" s="19">
        <f t="shared" si="5"/>
        <v>1</v>
      </c>
      <c r="O9" s="22"/>
      <c r="P9" s="22"/>
      <c r="Q9" s="25">
        <v>4</v>
      </c>
      <c r="R9" s="19">
        <v>0</v>
      </c>
      <c r="S9" s="19">
        <v>2</v>
      </c>
      <c r="T9" s="19">
        <v>0</v>
      </c>
      <c r="U9" s="19">
        <v>0</v>
      </c>
      <c r="V9" s="19">
        <v>2</v>
      </c>
      <c r="W9" s="19">
        <f t="shared" si="6"/>
        <v>2</v>
      </c>
      <c r="X9" s="19">
        <v>0</v>
      </c>
      <c r="Y9" s="19">
        <v>4</v>
      </c>
      <c r="Z9" s="19">
        <v>0</v>
      </c>
      <c r="AA9" s="5"/>
    </row>
    <row r="10" spans="1:27" s="8" customFormat="1" ht="17" customHeight="1">
      <c r="A10" s="23" t="s">
        <v>33</v>
      </c>
      <c r="B10" s="19">
        <v>5</v>
      </c>
      <c r="C10" s="19">
        <v>1</v>
      </c>
      <c r="D10" s="46">
        <v>1</v>
      </c>
      <c r="E10" s="19">
        <f t="shared" si="1"/>
        <v>0</v>
      </c>
      <c r="F10" s="19">
        <v>5</v>
      </c>
      <c r="G10" s="21">
        <v>5</v>
      </c>
      <c r="H10" s="19">
        <f t="shared" si="2"/>
        <v>0</v>
      </c>
      <c r="I10" s="19">
        <v>1</v>
      </c>
      <c r="J10" s="19">
        <v>1</v>
      </c>
      <c r="K10" s="19">
        <f t="shared" si="3"/>
        <v>0</v>
      </c>
      <c r="L10" s="19">
        <v>4</v>
      </c>
      <c r="M10" s="19">
        <f t="shared" si="4"/>
        <v>4</v>
      </c>
      <c r="N10" s="19">
        <f t="shared" si="5"/>
        <v>0</v>
      </c>
      <c r="O10" s="22"/>
      <c r="P10" s="22"/>
      <c r="Q10" s="25">
        <v>1</v>
      </c>
      <c r="R10" s="19">
        <v>1</v>
      </c>
      <c r="S10" s="19">
        <v>0</v>
      </c>
      <c r="T10" s="19">
        <v>0</v>
      </c>
      <c r="U10" s="19">
        <v>0</v>
      </c>
      <c r="V10" s="19">
        <v>1</v>
      </c>
      <c r="W10" s="19">
        <f t="shared" si="6"/>
        <v>0</v>
      </c>
      <c r="X10" s="19">
        <v>0</v>
      </c>
      <c r="Y10" s="19">
        <v>1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46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v>0</v>
      </c>
      <c r="M11" s="19">
        <f t="shared" si="4"/>
        <v>0</v>
      </c>
      <c r="N11" s="19">
        <f t="shared" si="5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f t="shared" si="6"/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46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v>0</v>
      </c>
      <c r="M12" s="19">
        <f t="shared" si="4"/>
        <v>0</v>
      </c>
      <c r="N12" s="19">
        <f t="shared" si="5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f t="shared" si="6"/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46">
        <v>3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v>1</v>
      </c>
      <c r="M13" s="19">
        <f t="shared" si="4"/>
        <v>1</v>
      </c>
      <c r="N13" s="19">
        <f t="shared" si="5"/>
        <v>0</v>
      </c>
      <c r="O13" s="22"/>
      <c r="P13" s="22"/>
      <c r="Q13" s="25">
        <v>1</v>
      </c>
      <c r="R13" s="19">
        <v>1</v>
      </c>
      <c r="S13" s="19">
        <v>0</v>
      </c>
      <c r="T13" s="19">
        <v>0</v>
      </c>
      <c r="U13" s="19">
        <v>0</v>
      </c>
      <c r="V13" s="19">
        <v>1</v>
      </c>
      <c r="W13" s="19">
        <f t="shared" si="6"/>
        <v>0</v>
      </c>
      <c r="X13" s="19">
        <v>0</v>
      </c>
      <c r="Y13" s="19">
        <v>1</v>
      </c>
      <c r="Z13" s="19">
        <v>0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46">
        <v>2</v>
      </c>
      <c r="E14" s="19">
        <f t="shared" si="1"/>
        <v>0</v>
      </c>
      <c r="F14" s="19">
        <v>1</v>
      </c>
      <c r="G14" s="21">
        <v>1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v>1</v>
      </c>
      <c r="M14" s="19">
        <f t="shared" si="4"/>
        <v>1</v>
      </c>
      <c r="N14" s="19">
        <f t="shared" si="5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f t="shared" si="6"/>
        <v>1</v>
      </c>
      <c r="X14" s="19">
        <v>0</v>
      </c>
      <c r="Y14" s="19">
        <v>1</v>
      </c>
      <c r="Z14" s="4">
        <v>1</v>
      </c>
      <c r="AA14" s="5"/>
    </row>
    <row r="15" spans="1:27" s="8" customFormat="1" ht="17" customHeight="1">
      <c r="A15" s="23" t="s">
        <v>38</v>
      </c>
      <c r="B15" s="19">
        <v>0</v>
      </c>
      <c r="C15" s="19">
        <v>2</v>
      </c>
      <c r="D15" s="46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v>0</v>
      </c>
      <c r="M15" s="19">
        <f t="shared" si="4"/>
        <v>0</v>
      </c>
      <c r="N15" s="19">
        <f t="shared" si="5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f t="shared" si="6"/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39</v>
      </c>
      <c r="B16" s="19">
        <v>2</v>
      </c>
      <c r="C16" s="19">
        <v>2</v>
      </c>
      <c r="D16" s="46">
        <v>3</v>
      </c>
      <c r="E16" s="19">
        <f t="shared" si="1"/>
        <v>1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v>2</v>
      </c>
      <c r="M16" s="19">
        <f t="shared" si="4"/>
        <v>2</v>
      </c>
      <c r="N16" s="19">
        <f t="shared" si="5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f t="shared" si="6"/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46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v>0</v>
      </c>
      <c r="M17" s="19">
        <f t="shared" si="4"/>
        <v>0</v>
      </c>
      <c r="N17" s="19">
        <f t="shared" si="5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f t="shared" si="6"/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46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v>1</v>
      </c>
      <c r="M18" s="19">
        <f t="shared" si="4"/>
        <v>1</v>
      </c>
      <c r="N18" s="19">
        <f t="shared" si="5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f t="shared" si="6"/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2</v>
      </c>
      <c r="D19" s="46">
        <v>3</v>
      </c>
      <c r="E19" s="19">
        <f t="shared" si="1"/>
        <v>1</v>
      </c>
      <c r="F19" s="19">
        <v>1</v>
      </c>
      <c r="G19" s="21">
        <v>2</v>
      </c>
      <c r="H19" s="19">
        <f t="shared" si="2"/>
        <v>1</v>
      </c>
      <c r="I19" s="19">
        <v>0</v>
      </c>
      <c r="J19" s="19">
        <v>1</v>
      </c>
      <c r="K19" s="19">
        <f t="shared" si="3"/>
        <v>1</v>
      </c>
      <c r="L19" s="19">
        <v>1</v>
      </c>
      <c r="M19" s="19">
        <f t="shared" si="4"/>
        <v>1</v>
      </c>
      <c r="N19" s="19">
        <f t="shared" si="5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f t="shared" si="6"/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43</v>
      </c>
      <c r="B20" s="19">
        <v>1</v>
      </c>
      <c r="C20" s="19">
        <v>5</v>
      </c>
      <c r="D20" s="46">
        <v>5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v>1</v>
      </c>
      <c r="M20" s="19">
        <f t="shared" si="4"/>
        <v>1</v>
      </c>
      <c r="N20" s="19">
        <f t="shared" si="5"/>
        <v>0</v>
      </c>
      <c r="O20" s="22"/>
      <c r="P20" s="22"/>
      <c r="Q20" s="25">
        <v>2</v>
      </c>
      <c r="R20" s="19">
        <v>1</v>
      </c>
      <c r="S20" s="19">
        <v>0</v>
      </c>
      <c r="T20" s="19">
        <v>0</v>
      </c>
      <c r="U20" s="19">
        <v>0</v>
      </c>
      <c r="V20" s="19">
        <v>0</v>
      </c>
      <c r="W20" s="19">
        <f t="shared" si="6"/>
        <v>2</v>
      </c>
      <c r="X20" s="19">
        <v>0</v>
      </c>
      <c r="Y20" s="19">
        <v>2</v>
      </c>
      <c r="Z20" s="19">
        <v>0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46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v>1</v>
      </c>
      <c r="M21" s="19">
        <f t="shared" si="4"/>
        <v>1</v>
      </c>
      <c r="N21" s="19">
        <f t="shared" si="5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f t="shared" si="6"/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46">
        <v>4</v>
      </c>
      <c r="E22" s="19">
        <f t="shared" si="1"/>
        <v>0</v>
      </c>
      <c r="F22" s="19">
        <v>2</v>
      </c>
      <c r="G22" s="21">
        <v>2</v>
      </c>
      <c r="H22" s="19">
        <f t="shared" si="2"/>
        <v>0</v>
      </c>
      <c r="I22" s="4">
        <v>0</v>
      </c>
      <c r="J22" s="4">
        <v>0</v>
      </c>
      <c r="K22" s="19">
        <f t="shared" si="3"/>
        <v>0</v>
      </c>
      <c r="L22" s="19">
        <v>2</v>
      </c>
      <c r="M22" s="19">
        <f t="shared" si="4"/>
        <v>2</v>
      </c>
      <c r="N22" s="19">
        <f t="shared" si="5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f t="shared" si="6"/>
        <v>3</v>
      </c>
      <c r="X22" s="19">
        <v>0</v>
      </c>
      <c r="Y22" s="19">
        <v>3</v>
      </c>
      <c r="Z22" s="4">
        <v>2</v>
      </c>
      <c r="AA22" s="5"/>
    </row>
    <row r="23" spans="1:45" s="8" customFormat="1" ht="17" customHeight="1">
      <c r="A23" s="23" t="s">
        <v>46</v>
      </c>
      <c r="B23" s="19">
        <v>3</v>
      </c>
      <c r="C23" s="19">
        <v>6</v>
      </c>
      <c r="D23" s="46">
        <v>6</v>
      </c>
      <c r="E23" s="19">
        <f t="shared" si="1"/>
        <v>0</v>
      </c>
      <c r="F23" s="19">
        <v>5</v>
      </c>
      <c r="G23" s="21">
        <v>6</v>
      </c>
      <c r="H23" s="19">
        <f t="shared" si="2"/>
        <v>1</v>
      </c>
      <c r="I23" s="19">
        <v>1</v>
      </c>
      <c r="J23" s="19">
        <v>1</v>
      </c>
      <c r="K23" s="19">
        <f t="shared" si="3"/>
        <v>0</v>
      </c>
      <c r="L23" s="19">
        <v>4</v>
      </c>
      <c r="M23" s="19">
        <f t="shared" si="4"/>
        <v>5</v>
      </c>
      <c r="N23" s="19">
        <f t="shared" si="5"/>
        <v>1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f t="shared" si="6"/>
        <v>0</v>
      </c>
      <c r="X23" s="19">
        <v>0</v>
      </c>
      <c r="Y23" s="19">
        <v>1</v>
      </c>
      <c r="Z23" s="4">
        <v>2</v>
      </c>
      <c r="AA23" s="5"/>
    </row>
    <row r="24" spans="1:45" s="8" customFormat="1" ht="17" customHeight="1">
      <c r="A24" s="23" t="s">
        <v>47</v>
      </c>
      <c r="B24" s="19">
        <v>2</v>
      </c>
      <c r="C24" s="19">
        <v>1</v>
      </c>
      <c r="D24" s="46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v>2</v>
      </c>
      <c r="M24" s="19">
        <f t="shared" si="4"/>
        <v>2</v>
      </c>
      <c r="N24" s="19">
        <f t="shared" si="5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f t="shared" si="6"/>
        <v>0</v>
      </c>
      <c r="X24" s="19">
        <v>0</v>
      </c>
      <c r="Y24" s="19">
        <v>0</v>
      </c>
      <c r="Z24" s="19">
        <v>0</v>
      </c>
      <c r="AA24" s="5"/>
    </row>
    <row r="25" spans="1:45" s="8" customFormat="1" ht="14">
      <c r="A25" s="23" t="s">
        <v>48</v>
      </c>
      <c r="B25" s="19">
        <v>9</v>
      </c>
      <c r="C25" s="19">
        <v>20</v>
      </c>
      <c r="D25" s="46">
        <v>22</v>
      </c>
      <c r="E25" s="19">
        <f t="shared" si="1"/>
        <v>2</v>
      </c>
      <c r="F25" s="19">
        <v>17</v>
      </c>
      <c r="G25" s="21">
        <v>19</v>
      </c>
      <c r="H25" s="19">
        <f t="shared" si="2"/>
        <v>2</v>
      </c>
      <c r="I25" s="19">
        <v>7</v>
      </c>
      <c r="J25" s="19">
        <v>7</v>
      </c>
      <c r="K25" s="19">
        <f t="shared" si="3"/>
        <v>0</v>
      </c>
      <c r="L25" s="19">
        <v>10</v>
      </c>
      <c r="M25" s="19">
        <f t="shared" si="4"/>
        <v>12</v>
      </c>
      <c r="N25" s="19">
        <f t="shared" si="5"/>
        <v>2</v>
      </c>
      <c r="O25" s="22"/>
      <c r="P25" s="22"/>
      <c r="Q25" s="25">
        <v>12</v>
      </c>
      <c r="R25" s="19">
        <v>5</v>
      </c>
      <c r="S25" s="19">
        <v>0</v>
      </c>
      <c r="T25" s="19">
        <v>0</v>
      </c>
      <c r="U25" s="19">
        <v>2</v>
      </c>
      <c r="V25" s="19">
        <v>4</v>
      </c>
      <c r="W25" s="19">
        <f t="shared" si="6"/>
        <v>6</v>
      </c>
      <c r="X25" s="19">
        <v>2</v>
      </c>
      <c r="Y25" s="19">
        <v>10</v>
      </c>
      <c r="Z25" s="19">
        <v>0</v>
      </c>
      <c r="AA25" s="26"/>
      <c r="AB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9</v>
      </c>
      <c r="D26" s="46">
        <v>12</v>
      </c>
      <c r="E26" s="19">
        <f t="shared" si="1"/>
        <v>3</v>
      </c>
      <c r="F26" s="19">
        <v>6</v>
      </c>
      <c r="G26" s="21">
        <v>6</v>
      </c>
      <c r="H26" s="19">
        <f t="shared" si="2"/>
        <v>0</v>
      </c>
      <c r="I26" s="19">
        <v>3</v>
      </c>
      <c r="J26" s="19">
        <v>3</v>
      </c>
      <c r="K26" s="19">
        <f t="shared" si="3"/>
        <v>0</v>
      </c>
      <c r="L26" s="19">
        <v>3</v>
      </c>
      <c r="M26" s="19">
        <f t="shared" si="4"/>
        <v>3</v>
      </c>
      <c r="N26" s="19">
        <f t="shared" si="5"/>
        <v>0</v>
      </c>
      <c r="O26" s="22"/>
      <c r="P26" s="22"/>
      <c r="Q26" s="25">
        <v>9</v>
      </c>
      <c r="R26" s="19">
        <v>3</v>
      </c>
      <c r="S26" s="19">
        <v>0</v>
      </c>
      <c r="T26" s="19">
        <v>1</v>
      </c>
      <c r="U26" s="19">
        <v>1</v>
      </c>
      <c r="V26" s="19">
        <v>2</v>
      </c>
      <c r="W26" s="19">
        <f t="shared" si="6"/>
        <v>6</v>
      </c>
      <c r="X26" s="19">
        <v>2</v>
      </c>
      <c r="Y26" s="19">
        <v>5</v>
      </c>
      <c r="Z26" s="19">
        <v>2</v>
      </c>
      <c r="AA26" s="26"/>
      <c r="AB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9</v>
      </c>
      <c r="D27" s="46">
        <v>10</v>
      </c>
      <c r="E27" s="19">
        <f t="shared" si="1"/>
        <v>1</v>
      </c>
      <c r="F27" s="19">
        <v>4</v>
      </c>
      <c r="G27" s="21">
        <v>4</v>
      </c>
      <c r="H27" s="19">
        <f t="shared" si="2"/>
        <v>0</v>
      </c>
      <c r="I27" s="19">
        <v>0</v>
      </c>
      <c r="J27" s="19">
        <v>0</v>
      </c>
      <c r="K27" s="19">
        <f t="shared" si="3"/>
        <v>0</v>
      </c>
      <c r="L27" s="19">
        <v>4</v>
      </c>
      <c r="M27" s="19">
        <f t="shared" si="4"/>
        <v>4</v>
      </c>
      <c r="N27" s="19">
        <f t="shared" si="5"/>
        <v>0</v>
      </c>
      <c r="O27" s="22"/>
      <c r="P27" s="22"/>
      <c r="Q27" s="25">
        <v>9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f t="shared" si="6"/>
        <v>7</v>
      </c>
      <c r="X27" s="19">
        <v>2</v>
      </c>
      <c r="Y27" s="19">
        <v>2</v>
      </c>
      <c r="Z27" s="19">
        <v>5</v>
      </c>
      <c r="AA27" s="26"/>
      <c r="AB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6250-40E5-8D42-AB11-E0B6250B6599}">
  <dimension ref="A1:XFD37"/>
  <sheetViews>
    <sheetView workbookViewId="0"/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161.5" style="34" customWidth="1"/>
    <col min="28" max="29" width="11.332031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63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59</v>
      </c>
      <c r="F3" s="5" t="s">
        <v>14</v>
      </c>
      <c r="G3" s="7" t="s">
        <v>7</v>
      </c>
      <c r="H3" s="5" t="s">
        <v>59</v>
      </c>
      <c r="I3" s="5" t="s">
        <v>14</v>
      </c>
      <c r="J3" s="5" t="s">
        <v>16</v>
      </c>
      <c r="K3" s="5" t="s">
        <v>59</v>
      </c>
      <c r="L3" s="5" t="s">
        <v>14</v>
      </c>
      <c r="M3" s="5" t="s">
        <v>17</v>
      </c>
      <c r="N3" s="5" t="s">
        <v>59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97</v>
      </c>
      <c r="D4" s="14">
        <f t="shared" si="0"/>
        <v>104</v>
      </c>
      <c r="E4" s="13">
        <f t="shared" si="0"/>
        <v>7</v>
      </c>
      <c r="F4" s="13">
        <f t="shared" si="0"/>
        <v>73</v>
      </c>
      <c r="G4" s="15">
        <f t="shared" si="0"/>
        <v>76</v>
      </c>
      <c r="H4" s="13">
        <f t="shared" si="0"/>
        <v>3</v>
      </c>
      <c r="I4" s="13">
        <f t="shared" si="0"/>
        <v>24</v>
      </c>
      <c r="J4" s="13">
        <f t="shared" si="0"/>
        <v>25</v>
      </c>
      <c r="K4" s="13">
        <f t="shared" si="0"/>
        <v>1</v>
      </c>
      <c r="L4" s="13">
        <f t="shared" si="0"/>
        <v>49</v>
      </c>
      <c r="M4" s="13">
        <f t="shared" si="0"/>
        <v>51</v>
      </c>
      <c r="N4" s="13">
        <f t="shared" si="0"/>
        <v>2</v>
      </c>
      <c r="O4" s="16">
        <f t="shared" si="0"/>
        <v>0</v>
      </c>
      <c r="P4" s="16">
        <f t="shared" si="0"/>
        <v>0</v>
      </c>
      <c r="Q4" s="17">
        <f t="shared" si="0"/>
        <v>81</v>
      </c>
      <c r="R4" s="13">
        <f t="shared" si="0"/>
        <v>29</v>
      </c>
      <c r="S4" s="13">
        <f t="shared" si="0"/>
        <v>11</v>
      </c>
      <c r="T4" s="13">
        <f t="shared" si="0"/>
        <v>8</v>
      </c>
      <c r="U4" s="13">
        <f t="shared" si="0"/>
        <v>10</v>
      </c>
      <c r="V4" s="13">
        <f t="shared" si="0"/>
        <v>31</v>
      </c>
      <c r="W4" s="13">
        <f t="shared" si="0"/>
        <v>40</v>
      </c>
      <c r="X4" s="13">
        <f t="shared" si="0"/>
        <v>5</v>
      </c>
      <c r="Y4" s="13">
        <f t="shared" si="0"/>
        <v>59</v>
      </c>
      <c r="Z4" s="13">
        <f t="shared" si="0"/>
        <v>17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3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47">
        <v>15</v>
      </c>
      <c r="E6" s="19">
        <f t="shared" ref="E6:E27" si="1">D6-C6</f>
        <v>0</v>
      </c>
      <c r="F6" s="19">
        <v>12</v>
      </c>
      <c r="G6" s="21">
        <v>12</v>
      </c>
      <c r="H6" s="19">
        <f t="shared" ref="H6:H27" si="2">G6-F6</f>
        <v>0</v>
      </c>
      <c r="I6" s="19">
        <v>5</v>
      </c>
      <c r="J6" s="19">
        <v>5</v>
      </c>
      <c r="K6" s="19">
        <f t="shared" ref="K6:K27" si="3">J6-I6</f>
        <v>0</v>
      </c>
      <c r="L6" s="19">
        <f t="shared" ref="L6:L27" si="4">F6-I6</f>
        <v>7</v>
      </c>
      <c r="M6" s="19">
        <f t="shared" ref="M6:M27" si="5">G6-J6</f>
        <v>7</v>
      </c>
      <c r="N6" s="19">
        <f t="shared" ref="N6:N27" si="6">M6-L6</f>
        <v>0</v>
      </c>
      <c r="O6" s="22"/>
      <c r="P6" s="22"/>
      <c r="Q6" s="25">
        <v>10</v>
      </c>
      <c r="R6" s="19">
        <v>2</v>
      </c>
      <c r="S6" s="19">
        <v>4</v>
      </c>
      <c r="T6" s="19">
        <v>1</v>
      </c>
      <c r="U6" s="19">
        <v>2</v>
      </c>
      <c r="V6" s="19">
        <v>6</v>
      </c>
      <c r="W6" s="19">
        <v>2</v>
      </c>
      <c r="X6" s="19">
        <v>0</v>
      </c>
      <c r="Y6" s="19">
        <v>10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4</v>
      </c>
      <c r="D7" s="47">
        <v>5</v>
      </c>
      <c r="E7" s="19">
        <f t="shared" si="1"/>
        <v>1</v>
      </c>
      <c r="F7" s="19">
        <v>3</v>
      </c>
      <c r="G7" s="21">
        <v>3</v>
      </c>
      <c r="H7" s="19">
        <f t="shared" si="2"/>
        <v>0</v>
      </c>
      <c r="I7" s="19">
        <v>1</v>
      </c>
      <c r="J7" s="19">
        <v>1</v>
      </c>
      <c r="K7" s="19">
        <f t="shared" si="3"/>
        <v>0</v>
      </c>
      <c r="L7" s="19">
        <f t="shared" si="4"/>
        <v>2</v>
      </c>
      <c r="M7" s="19">
        <f t="shared" si="5"/>
        <v>2</v>
      </c>
      <c r="N7" s="19">
        <f t="shared" si="6"/>
        <v>0</v>
      </c>
      <c r="O7" s="22"/>
      <c r="P7" s="22"/>
      <c r="Q7" s="25">
        <v>5</v>
      </c>
      <c r="R7" s="19">
        <v>0</v>
      </c>
      <c r="S7" s="19">
        <v>2</v>
      </c>
      <c r="T7" s="19">
        <v>2</v>
      </c>
      <c r="U7" s="19">
        <v>0</v>
      </c>
      <c r="V7" s="19">
        <v>1</v>
      </c>
      <c r="W7" s="19">
        <v>4</v>
      </c>
      <c r="X7" s="19">
        <v>0</v>
      </c>
      <c r="Y7" s="19">
        <v>5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47">
        <v>8</v>
      </c>
      <c r="E8" s="19">
        <f t="shared" si="1"/>
        <v>0</v>
      </c>
      <c r="F8" s="19">
        <v>3</v>
      </c>
      <c r="G8" s="21">
        <v>3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3</v>
      </c>
      <c r="M8" s="19">
        <f t="shared" si="5"/>
        <v>3</v>
      </c>
      <c r="N8" s="19">
        <f t="shared" si="6"/>
        <v>0</v>
      </c>
      <c r="O8" s="22"/>
      <c r="P8" s="22"/>
      <c r="Q8" s="25">
        <v>9</v>
      </c>
      <c r="R8" s="19">
        <v>2</v>
      </c>
      <c r="S8" s="19">
        <v>0</v>
      </c>
      <c r="T8" s="19">
        <v>1</v>
      </c>
      <c r="U8" s="19">
        <v>1</v>
      </c>
      <c r="V8" s="19">
        <v>3</v>
      </c>
      <c r="W8" s="19">
        <v>5</v>
      </c>
      <c r="X8" s="19">
        <v>1</v>
      </c>
      <c r="Y8" s="19">
        <v>6</v>
      </c>
      <c r="Z8" s="4">
        <v>2</v>
      </c>
      <c r="AA8" s="5"/>
    </row>
    <row r="9" spans="1:27" s="8" customFormat="1" ht="17" customHeight="1">
      <c r="A9" s="23" t="s">
        <v>32</v>
      </c>
      <c r="B9" s="19">
        <v>2</v>
      </c>
      <c r="C9" s="19">
        <v>4</v>
      </c>
      <c r="D9" s="47">
        <v>4</v>
      </c>
      <c r="E9" s="19">
        <f t="shared" si="1"/>
        <v>0</v>
      </c>
      <c r="F9" s="19">
        <v>2</v>
      </c>
      <c r="G9" s="21">
        <v>2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2</v>
      </c>
      <c r="M9" s="19">
        <f t="shared" si="5"/>
        <v>2</v>
      </c>
      <c r="N9" s="19">
        <f t="shared" si="6"/>
        <v>0</v>
      </c>
      <c r="O9" s="22"/>
      <c r="P9" s="22"/>
      <c r="Q9" s="25">
        <v>4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2</v>
      </c>
      <c r="X9" s="19">
        <v>0</v>
      </c>
      <c r="Y9" s="19">
        <v>3</v>
      </c>
      <c r="Z9" s="4">
        <v>1</v>
      </c>
      <c r="AA9" s="5"/>
    </row>
    <row r="10" spans="1:27" s="8" customFormat="1" ht="17" customHeight="1">
      <c r="A10" s="23" t="s">
        <v>33</v>
      </c>
      <c r="B10" s="19">
        <v>5</v>
      </c>
      <c r="C10" s="19">
        <v>1</v>
      </c>
      <c r="D10" s="47">
        <v>1</v>
      </c>
      <c r="E10" s="19">
        <f t="shared" si="1"/>
        <v>0</v>
      </c>
      <c r="F10" s="19">
        <v>5</v>
      </c>
      <c r="G10" s="21">
        <v>5</v>
      </c>
      <c r="H10" s="19">
        <f t="shared" si="2"/>
        <v>0</v>
      </c>
      <c r="I10" s="19">
        <v>1</v>
      </c>
      <c r="J10" s="19">
        <v>1</v>
      </c>
      <c r="K10" s="19">
        <f t="shared" si="3"/>
        <v>0</v>
      </c>
      <c r="L10" s="19">
        <f t="shared" si="4"/>
        <v>4</v>
      </c>
      <c r="M10" s="19">
        <f t="shared" si="5"/>
        <v>4</v>
      </c>
      <c r="N10" s="19">
        <f t="shared" si="6"/>
        <v>0</v>
      </c>
      <c r="O10" s="22"/>
      <c r="P10" s="22"/>
      <c r="Q10" s="25">
        <v>1</v>
      </c>
      <c r="R10" s="19">
        <v>1</v>
      </c>
      <c r="S10" s="19">
        <v>0</v>
      </c>
      <c r="T10" s="19">
        <v>0</v>
      </c>
      <c r="U10" s="19">
        <v>0</v>
      </c>
      <c r="V10" s="19">
        <v>1</v>
      </c>
      <c r="W10" s="19">
        <v>0</v>
      </c>
      <c r="X10" s="19">
        <v>0</v>
      </c>
      <c r="Y10" s="19">
        <v>1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47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47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47">
        <v>3</v>
      </c>
      <c r="E13" s="19">
        <f t="shared" si="1"/>
        <v>0</v>
      </c>
      <c r="F13" s="19">
        <v>1</v>
      </c>
      <c r="G13" s="21">
        <v>2</v>
      </c>
      <c r="H13" s="19">
        <f t="shared" si="2"/>
        <v>1</v>
      </c>
      <c r="I13" s="19">
        <v>1</v>
      </c>
      <c r="J13" s="19">
        <v>1</v>
      </c>
      <c r="K13" s="19">
        <f t="shared" si="3"/>
        <v>0</v>
      </c>
      <c r="L13" s="19">
        <f t="shared" si="4"/>
        <v>0</v>
      </c>
      <c r="M13" s="19">
        <f t="shared" si="5"/>
        <v>1</v>
      </c>
      <c r="N13" s="19">
        <f t="shared" si="6"/>
        <v>1</v>
      </c>
      <c r="O13" s="22"/>
      <c r="P13" s="22"/>
      <c r="Q13" s="25">
        <v>1</v>
      </c>
      <c r="R13" s="19">
        <v>1</v>
      </c>
      <c r="S13" s="19">
        <v>0</v>
      </c>
      <c r="T13" s="19">
        <v>0</v>
      </c>
      <c r="U13" s="19">
        <v>0</v>
      </c>
      <c r="V13" s="19">
        <v>1</v>
      </c>
      <c r="W13" s="19">
        <v>0</v>
      </c>
      <c r="X13" s="19">
        <v>0</v>
      </c>
      <c r="Y13" s="19">
        <v>1</v>
      </c>
      <c r="Z13" s="19">
        <v>0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47">
        <v>2</v>
      </c>
      <c r="E14" s="19">
        <f t="shared" si="1"/>
        <v>0</v>
      </c>
      <c r="F14" s="19">
        <v>1</v>
      </c>
      <c r="G14" s="21">
        <v>1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1</v>
      </c>
      <c r="N14" s="19">
        <f t="shared" si="6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1</v>
      </c>
      <c r="X14" s="19">
        <v>0</v>
      </c>
      <c r="Y14" s="19">
        <v>1</v>
      </c>
      <c r="Z14" s="4">
        <v>1</v>
      </c>
      <c r="AA14" s="5"/>
    </row>
    <row r="15" spans="1:27" s="8" customFormat="1" ht="17" customHeight="1">
      <c r="A15" s="23" t="s">
        <v>38</v>
      </c>
      <c r="B15" s="19">
        <v>0</v>
      </c>
      <c r="C15" s="19">
        <v>2</v>
      </c>
      <c r="D15" s="47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39</v>
      </c>
      <c r="B16" s="19">
        <v>2</v>
      </c>
      <c r="C16" s="19">
        <v>1</v>
      </c>
      <c r="D16" s="47">
        <v>2</v>
      </c>
      <c r="E16" s="19">
        <f t="shared" si="1"/>
        <v>1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2</v>
      </c>
      <c r="R16" s="19">
        <v>0</v>
      </c>
      <c r="S16" s="19">
        <v>0</v>
      </c>
      <c r="T16" s="19">
        <v>2</v>
      </c>
      <c r="U16" s="19">
        <v>0</v>
      </c>
      <c r="V16" s="19">
        <v>0</v>
      </c>
      <c r="W16" s="19">
        <v>2</v>
      </c>
      <c r="X16" s="19">
        <v>0</v>
      </c>
      <c r="Y16" s="19">
        <v>1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47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47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2</v>
      </c>
      <c r="D19" s="47">
        <v>2</v>
      </c>
      <c r="E19" s="19">
        <f t="shared" si="1"/>
        <v>0</v>
      </c>
      <c r="F19" s="19">
        <v>1</v>
      </c>
      <c r="G19" s="21">
        <v>1</v>
      </c>
      <c r="H19" s="19">
        <f t="shared" si="2"/>
        <v>0</v>
      </c>
      <c r="I19" s="19">
        <v>0</v>
      </c>
      <c r="J19" s="19">
        <v>0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43</v>
      </c>
      <c r="B20" s="19">
        <v>1</v>
      </c>
      <c r="C20" s="19">
        <v>3</v>
      </c>
      <c r="D20" s="47">
        <v>5</v>
      </c>
      <c r="E20" s="19">
        <f t="shared" si="1"/>
        <v>2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2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2</v>
      </c>
      <c r="X20" s="19">
        <v>0</v>
      </c>
      <c r="Y20" s="19">
        <v>2</v>
      </c>
      <c r="Z20" s="19">
        <v>0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47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47">
        <v>4</v>
      </c>
      <c r="E22" s="19">
        <f t="shared" si="1"/>
        <v>0</v>
      </c>
      <c r="F22" s="19">
        <v>2</v>
      </c>
      <c r="G22" s="21">
        <v>2</v>
      </c>
      <c r="H22" s="19">
        <f t="shared" si="2"/>
        <v>0</v>
      </c>
      <c r="I22" s="4">
        <v>0</v>
      </c>
      <c r="J22" s="4">
        <v>0</v>
      </c>
      <c r="K22" s="19">
        <f t="shared" si="3"/>
        <v>0</v>
      </c>
      <c r="L22" s="19">
        <f t="shared" si="4"/>
        <v>2</v>
      </c>
      <c r="M22" s="19">
        <f t="shared" si="5"/>
        <v>2</v>
      </c>
      <c r="N22" s="19">
        <f t="shared" si="6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v>3</v>
      </c>
      <c r="X22" s="19">
        <v>0</v>
      </c>
      <c r="Y22" s="19">
        <v>3</v>
      </c>
      <c r="Z22" s="4">
        <v>2</v>
      </c>
      <c r="AA22" s="5"/>
    </row>
    <row r="23" spans="1:45" s="8" customFormat="1" ht="17" customHeight="1">
      <c r="A23" s="23" t="s">
        <v>46</v>
      </c>
      <c r="B23" s="19">
        <v>3</v>
      </c>
      <c r="C23" s="19">
        <v>6</v>
      </c>
      <c r="D23" s="47">
        <v>6</v>
      </c>
      <c r="E23" s="19">
        <f t="shared" si="1"/>
        <v>0</v>
      </c>
      <c r="F23" s="19">
        <v>4</v>
      </c>
      <c r="G23" s="21">
        <v>5</v>
      </c>
      <c r="H23" s="19">
        <f t="shared" si="2"/>
        <v>1</v>
      </c>
      <c r="I23" s="19">
        <v>0</v>
      </c>
      <c r="J23" s="19">
        <v>1</v>
      </c>
      <c r="K23" s="19">
        <f t="shared" si="3"/>
        <v>1</v>
      </c>
      <c r="L23" s="19">
        <f t="shared" si="4"/>
        <v>4</v>
      </c>
      <c r="M23" s="19">
        <f t="shared" si="5"/>
        <v>4</v>
      </c>
      <c r="N23" s="19">
        <f t="shared" si="6"/>
        <v>0</v>
      </c>
      <c r="O23" s="22"/>
      <c r="P23" s="22"/>
      <c r="Q23" s="25">
        <v>4</v>
      </c>
      <c r="R23" s="19">
        <v>1</v>
      </c>
      <c r="S23" s="19">
        <v>0</v>
      </c>
      <c r="T23" s="19">
        <v>0</v>
      </c>
      <c r="U23" s="19">
        <v>0</v>
      </c>
      <c r="V23" s="19">
        <v>3</v>
      </c>
      <c r="W23" s="19">
        <v>1</v>
      </c>
      <c r="X23" s="19">
        <v>0</v>
      </c>
      <c r="Y23" s="19">
        <v>2</v>
      </c>
      <c r="Z23" s="4">
        <v>2</v>
      </c>
      <c r="AA23" s="5"/>
    </row>
    <row r="24" spans="1:45" s="8" customFormat="1" ht="17" customHeight="1">
      <c r="A24" s="23" t="s">
        <v>47</v>
      </c>
      <c r="B24" s="19">
        <v>2</v>
      </c>
      <c r="C24" s="19">
        <v>1</v>
      </c>
      <c r="D24" s="47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4">
        <v>0</v>
      </c>
      <c r="AA24" s="5"/>
    </row>
    <row r="25" spans="1:45" s="8" customFormat="1" ht="14">
      <c r="A25" s="23" t="s">
        <v>48</v>
      </c>
      <c r="B25" s="19">
        <v>9</v>
      </c>
      <c r="C25" s="19">
        <v>19</v>
      </c>
      <c r="D25" s="47">
        <v>20</v>
      </c>
      <c r="E25" s="19">
        <f t="shared" si="1"/>
        <v>1</v>
      </c>
      <c r="F25" s="19">
        <v>17</v>
      </c>
      <c r="G25" s="21">
        <v>17</v>
      </c>
      <c r="H25" s="19">
        <f t="shared" si="2"/>
        <v>0</v>
      </c>
      <c r="I25" s="19">
        <v>7</v>
      </c>
      <c r="J25" s="19">
        <v>7</v>
      </c>
      <c r="K25" s="19">
        <f t="shared" si="3"/>
        <v>0</v>
      </c>
      <c r="L25" s="19">
        <f t="shared" si="4"/>
        <v>10</v>
      </c>
      <c r="M25" s="19">
        <f t="shared" si="5"/>
        <v>10</v>
      </c>
      <c r="N25" s="19">
        <f t="shared" si="6"/>
        <v>0</v>
      </c>
      <c r="O25" s="22"/>
      <c r="P25" s="22"/>
      <c r="Q25" s="25">
        <v>12</v>
      </c>
      <c r="R25" s="19">
        <v>5</v>
      </c>
      <c r="S25" s="19">
        <v>1</v>
      </c>
      <c r="T25" s="19">
        <v>0</v>
      </c>
      <c r="U25" s="19">
        <v>2</v>
      </c>
      <c r="V25" s="19">
        <v>5</v>
      </c>
      <c r="W25" s="19">
        <v>5</v>
      </c>
      <c r="X25" s="19">
        <v>2</v>
      </c>
      <c r="Y25" s="19">
        <v>10</v>
      </c>
      <c r="Z25" s="19">
        <v>0</v>
      </c>
      <c r="AA25" s="26"/>
      <c r="AB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8</v>
      </c>
      <c r="D26" s="47">
        <v>9</v>
      </c>
      <c r="E26" s="19">
        <f t="shared" si="1"/>
        <v>1</v>
      </c>
      <c r="F26" s="19">
        <v>5</v>
      </c>
      <c r="G26" s="21">
        <v>6</v>
      </c>
      <c r="H26" s="19">
        <f t="shared" si="2"/>
        <v>1</v>
      </c>
      <c r="I26" s="19">
        <v>3</v>
      </c>
      <c r="J26" s="19">
        <v>3</v>
      </c>
      <c r="K26" s="19">
        <f t="shared" si="3"/>
        <v>0</v>
      </c>
      <c r="L26" s="19">
        <f t="shared" si="4"/>
        <v>2</v>
      </c>
      <c r="M26" s="19">
        <f t="shared" si="5"/>
        <v>3</v>
      </c>
      <c r="N26" s="19">
        <f t="shared" si="6"/>
        <v>1</v>
      </c>
      <c r="O26" s="22"/>
      <c r="P26" s="22"/>
      <c r="Q26" s="25">
        <v>6</v>
      </c>
      <c r="R26" s="19">
        <v>2</v>
      </c>
      <c r="S26" s="19">
        <v>0</v>
      </c>
      <c r="T26" s="19">
        <v>1</v>
      </c>
      <c r="U26" s="19">
        <v>1</v>
      </c>
      <c r="V26" s="19">
        <v>0</v>
      </c>
      <c r="W26" s="19">
        <v>5</v>
      </c>
      <c r="X26" s="19">
        <v>0</v>
      </c>
      <c r="Y26" s="19">
        <v>4</v>
      </c>
      <c r="Z26" s="19">
        <v>2</v>
      </c>
      <c r="AA26" s="26"/>
      <c r="AB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8</v>
      </c>
      <c r="D27" s="47">
        <v>9</v>
      </c>
      <c r="E27" s="19">
        <f t="shared" si="1"/>
        <v>1</v>
      </c>
      <c r="F27" s="19">
        <v>4</v>
      </c>
      <c r="G27" s="21">
        <v>4</v>
      </c>
      <c r="H27" s="19">
        <f t="shared" si="2"/>
        <v>0</v>
      </c>
      <c r="I27" s="19">
        <v>0</v>
      </c>
      <c r="J27" s="19">
        <v>0</v>
      </c>
      <c r="K27" s="19">
        <f t="shared" si="3"/>
        <v>0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v>6</v>
      </c>
      <c r="X27" s="19">
        <v>2</v>
      </c>
      <c r="Y27" s="19">
        <v>2</v>
      </c>
      <c r="Z27" s="19">
        <v>4</v>
      </c>
      <c r="AA27" s="26"/>
      <c r="AB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2466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состоят на учете на 23.06.26</vt:lpstr>
      <vt:lpstr>состоят на учете на 10.06.26</vt:lpstr>
      <vt:lpstr>состоят на учете на 28.05.26</vt:lpstr>
      <vt:lpstr>состоят на учете на 21.05.26</vt:lpstr>
      <vt:lpstr>состоят на учете на 14.05.26</vt:lpstr>
      <vt:lpstr>состоят на учете на 07.05.26</vt:lpstr>
      <vt:lpstr>состоят на учете на 30.4.26</vt:lpstr>
      <vt:lpstr>состоят на учете на 23.04.26</vt:lpstr>
      <vt:lpstr>состоят на учете на 14.04.26</vt:lpstr>
      <vt:lpstr>'состоят на учете на 07.05.26'!Print_Area</vt:lpstr>
      <vt:lpstr>'состоят на учете на 10.06.26'!Print_Area</vt:lpstr>
      <vt:lpstr>'состоят на учете на 14.04.26'!Print_Area</vt:lpstr>
      <vt:lpstr>'состоят на учете на 14.05.26'!Print_Area</vt:lpstr>
      <vt:lpstr>'состоят на учете на 21.05.26'!Print_Area</vt:lpstr>
      <vt:lpstr>'состоят на учете на 23.04.26'!Print_Area</vt:lpstr>
      <vt:lpstr>'состоят на учете на 23.06.26'!Print_Area</vt:lpstr>
      <vt:lpstr>'состоят на учете на 28.05.26'!Print_Area</vt:lpstr>
      <vt:lpstr>'состоят на учете на 30.4.26'!Print_Area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Artyom Skomorokhov</cp:lastModifiedBy>
  <cp:revision>402</cp:revision>
  <dcterms:created xsi:type="dcterms:W3CDTF">2026-06-23T13:36:21Z</dcterms:created>
  <dcterms:modified xsi:type="dcterms:W3CDTF">2026-06-23T13:36:21Z</dcterms:modified>
</cp:coreProperties>
</file>