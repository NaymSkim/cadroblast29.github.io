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15.10.26" sheetId="1" state="visible" r:id="rId3"/>
    <sheet name="состоят на учете на 04.09.26" sheetId="2" state="visible" r:id="rId4"/>
    <sheet name="состоят на учете на 25.08.26" sheetId="3" state="visible" r:id="rId5"/>
    <sheet name="состоят на учете на 13.08.26" sheetId="4" state="visible" r:id="rId6"/>
    <sheet name="состоят на учете на 15.07.26" sheetId="5" state="visible" r:id="rId7"/>
    <sheet name="состоят на учете на 23.06.26" sheetId="6" state="visible" r:id="rId8"/>
    <sheet name="состоят на учете на 10.06.26" sheetId="7" state="visible" r:id="rId9"/>
    <sheet name="состоят на учете на 28.05.26" sheetId="8" state="visible" r:id="rId10"/>
    <sheet name="состоят на учете на 21.05.26" sheetId="9" state="visible" r:id="rId11"/>
    <sheet name="состоят на учете на 14.05.26" sheetId="10" state="visible" r:id="rId12"/>
    <sheet name="состоят на учете на 07.05.26" sheetId="11" state="visible" r:id="rId13"/>
    <sheet name="состоят на учете на 30.4.26" sheetId="12" state="visible" r:id="rId14"/>
    <sheet name="состоят на учете на 23.04.26" sheetId="13" state="visible" r:id="rId15"/>
    <sheet name="состоят на учете на 14.04.26" sheetId="14" state="visible" r:id="rId16"/>
  </sheets>
  <definedNames>
    <definedName function="false" hidden="false" localSheetId="1" name="_xlnm.Print_Area" vbProcedure="false">'состоят на учете на 04.09.26'!$A$1:$AA$27</definedName>
    <definedName function="false" hidden="false" localSheetId="10" name="_xlnm.Print_Area" vbProcedure="false">'состоят на учете на 07.05.26'!$A$1:$AA$27</definedName>
    <definedName function="false" hidden="false" localSheetId="6" name="_xlnm.Print_Area" vbProcedure="false">'состоят на учете на 10.06.26'!$A$1:$AA$27</definedName>
    <definedName function="false" hidden="false" localSheetId="3" name="_xlnm.Print_Area" vbProcedure="false">'состоят на учете на 13.08.26'!$A$1:$AA$27</definedName>
    <definedName function="false" hidden="false" localSheetId="13" name="_xlnm.Print_Area" vbProcedure="false">'состоят на учете на 14.04.26'!$A$1:$AA$27</definedName>
    <definedName function="false" hidden="false" localSheetId="9" name="_xlnm.Print_Area" vbProcedure="false">'состоят на учете на 14.05.26'!$A$1:$AA$27</definedName>
    <definedName function="false" hidden="false" localSheetId="4" name="_xlnm.Print_Area" vbProcedure="false">'состоят на учете на 15.07.26'!$A$1:$AA$27</definedName>
    <definedName function="false" hidden="false" localSheetId="0" name="_xlnm.Print_Area" vbProcedure="false">'состоят на учете на 15.10.26'!$A$1:$AA$27</definedName>
    <definedName function="false" hidden="false" localSheetId="8" name="_xlnm.Print_Area" vbProcedure="false">'состоят на учете на 21.05.26'!$A$1:$AA$27</definedName>
    <definedName function="false" hidden="false" localSheetId="12" name="_xlnm.Print_Area" vbProcedure="false">'состоят на учете на 23.04.26'!$A$1:$AA$27</definedName>
    <definedName function="false" hidden="false" localSheetId="5" name="_xlnm.Print_Area" vbProcedure="false">'состоят на учете на 23.06.26'!$A$1:$AA$27</definedName>
    <definedName function="false" hidden="false" localSheetId="2" name="_xlnm.Print_Area" vbProcedure="false">'состоят на учете на 25.08.26'!$A$1:$AA$27</definedName>
    <definedName function="false" hidden="false" localSheetId="7" name="_xlnm.Print_Area" vbProcedure="false">'состоят на учете на 28.05.26'!$A$1:$AA$27</definedName>
    <definedName function="false" hidden="false" localSheetId="11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<sst xmlns="http://schemas.openxmlformats.org/spreadsheetml/2006/main" count="835" uniqueCount="74">
  <si>
    <t xml:space="preserve"> На 15.10.2026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</si>
  <si>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</si>
  <si>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</si>
  <si>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</si>
  <si>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</si>
  <si>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</si>
  <si>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</si>
  <si>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</si>
  <si>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</si>
  <si>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</si>
  <si>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</si>
  <si>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</si>
  <si>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</si>
  <si>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</si>
  <si>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</si>
  <si>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2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</si>
  <si>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</si>
  <si>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</si>
  <si>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</si>
  <si>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</si>
  <si>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</si>
  <si>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</si>
  <si>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</si>
  <si>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</si>
  <si>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</si>
  <si>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</si>
  <si>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</si>
  <si>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</si>
  <si>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</si>
  <si>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</si>
  <si>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</si>
  <si>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</si>
  <si>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</si>
  <si>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</si>
  <si>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</si>
  <si>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</si>
  <si>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</si>
  <si>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</si>
  <si>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</si>
  <si>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</si>
  <si>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</si>
  <si>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</si>
  <si>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</si>
  <si>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</si>
  <si>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</si>
  <si>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</si>
  <si>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</si>
  <si>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</si>
  <si>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</si>
  <si>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</si>
  <si>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</si>
  <si>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</si>
  <si>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04.09.2026</t>
  </si>
  <si>
    <t xml:space="preserve">За неделю</t>
  </si>
  <si>
    <t xml:space="preserve"> На 25.08.2026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</si>
  <si>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</si>
  <si>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</si>
  <si>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</si>
  <si>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</si>
  <si>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За 3 недели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</si>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</sst>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Q8" activeCellId="0" sqref="Q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205</v>
      </c>
      <c r="E4" s="20" t="n">
        <f aca="false">SUM(E6:E27)</f>
        <v>13</v>
      </c>
      <c r="F4" s="20" t="n">
        <f aca="false">SUM(F6:F27)</f>
        <v>203</v>
      </c>
      <c r="G4" s="22" t="n">
        <f aca="false">SUM(G6:G27)</f>
        <v>211</v>
      </c>
      <c r="H4" s="20" t="n">
        <f aca="false">SUM(H6:H27)</f>
        <v>8</v>
      </c>
      <c r="I4" s="20" t="n">
        <f aca="false">SUM(I6:I27)</f>
        <v>64</v>
      </c>
      <c r="J4" s="20" t="n">
        <f aca="false">SUM(J6:J27)</f>
        <v>69</v>
      </c>
      <c r="K4" s="20" t="n">
        <f aca="false">SUM(K6:K27)</f>
        <v>5</v>
      </c>
      <c r="L4" s="20" t="n">
        <v>139</v>
      </c>
      <c r="M4" s="20" t="n">
        <f aca="false">SUM(M6:M27)</f>
        <v>142</v>
      </c>
      <c r="N4" s="20" t="n">
        <f aca="false">SUM(N6:N27)</f>
        <v>3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47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4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30</v>
      </c>
      <c r="E6" s="27" t="n">
        <f aca="false">D6-C6</f>
        <v>1</v>
      </c>
      <c r="F6" s="27" t="n">
        <v>29</v>
      </c>
      <c r="G6" s="29" t="n">
        <v>30</v>
      </c>
      <c r="H6" s="27" t="n">
        <f aca="false">G6-F6</f>
        <v>1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19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1</v>
      </c>
      <c r="T6" s="27" t="n">
        <v>1</v>
      </c>
      <c r="U6" s="27" t="n">
        <v>2</v>
      </c>
      <c r="V6" s="27" t="n">
        <v>2</v>
      </c>
      <c r="W6" s="27" t="n">
        <f aca="false">Q6-U6-V6</f>
        <v>3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2</v>
      </c>
      <c r="H11" s="27" t="n">
        <f aca="false">G11-F11</f>
        <v>1</v>
      </c>
      <c r="I11" s="27" t="n">
        <v>0</v>
      </c>
      <c r="J11" s="27" t="n">
        <v>1</v>
      </c>
      <c r="K11" s="27" t="n">
        <f aca="false">J11-I11</f>
        <v>1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2</v>
      </c>
      <c r="H12" s="27" t="n">
        <f aca="false">G12-F12</f>
        <v>1</v>
      </c>
      <c r="I12" s="27" t="n">
        <v>1</v>
      </c>
      <c r="J12" s="27" t="n">
        <v>2</v>
      </c>
      <c r="K12" s="27" t="n">
        <f aca="false">J12-I12</f>
        <v>1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2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1</v>
      </c>
      <c r="X21" s="27" t="n">
        <v>0</v>
      </c>
      <c r="Y21" s="27" t="n">
        <v>1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9</v>
      </c>
      <c r="H23" s="27" t="n">
        <f aca="false">G23-F23</f>
        <v>1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6</v>
      </c>
      <c r="N23" s="27" t="n">
        <f aca="false">M23-L23</f>
        <v>1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22</v>
      </c>
      <c r="E26" s="27" t="n">
        <f aca="false">D26-C26</f>
        <v>2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5</v>
      </c>
      <c r="R26" s="27" t="n">
        <v>2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1</v>
      </c>
      <c r="X26" s="27" t="n">
        <v>0</v>
      </c>
      <c r="Y26" s="27" t="n">
        <v>4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W9" activeCellId="0" sqref="W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202</v>
      </c>
      <c r="E4" s="20" t="n">
        <f aca="false">SUM(E6:E27)</f>
        <v>10</v>
      </c>
      <c r="F4" s="20" t="n">
        <f aca="false">SUM(F6:F27)</f>
        <v>203</v>
      </c>
      <c r="G4" s="22" t="n">
        <f aca="false">SUM(G6:G27)</f>
        <v>207</v>
      </c>
      <c r="H4" s="20" t="n">
        <f aca="false">SUM(H6:H27)</f>
        <v>4</v>
      </c>
      <c r="I4" s="20" t="n">
        <f aca="false">SUM(I6:I27)</f>
        <v>64</v>
      </c>
      <c r="J4" s="20" t="n">
        <f aca="false">SUM(J6:J27)</f>
        <v>67</v>
      </c>
      <c r="K4" s="20" t="n">
        <f aca="false">SUM(K6:K27)</f>
        <v>3</v>
      </c>
      <c r="L4" s="20" t="n">
        <v>139</v>
      </c>
      <c r="M4" s="20" t="n">
        <f aca="false">SUM(M6:M27)</f>
        <v>140</v>
      </c>
      <c r="N4" s="20" t="n">
        <f aca="false">SUM(N6:N27)</f>
        <v>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48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9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5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29</v>
      </c>
      <c r="E6" s="27" t="n">
        <f aca="false">D6-C6</f>
        <v>0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1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1</v>
      </c>
      <c r="X12" s="27" t="n">
        <v>0</v>
      </c>
      <c r="Y12" s="27" t="n">
        <v>1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2</v>
      </c>
      <c r="X23" s="27" t="n">
        <v>0</v>
      </c>
      <c r="Y23" s="27" t="n">
        <v>2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21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4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2</v>
      </c>
      <c r="W26" s="27" t="n">
        <f aca="false">Q26-U26-V26</f>
        <v>1</v>
      </c>
      <c r="X26" s="27" t="n">
        <v>0</v>
      </c>
      <c r="Y26" s="27" t="n">
        <v>3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2" activeCellId="0" sqref="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56</v>
      </c>
      <c r="F3" s="8" t="s">
        <v>14</v>
      </c>
      <c r="G3" s="10" t="s">
        <v>7</v>
      </c>
      <c r="H3" s="8" t="s">
        <v>56</v>
      </c>
      <c r="I3" s="8" t="s">
        <v>14</v>
      </c>
      <c r="J3" s="8" t="s">
        <v>16</v>
      </c>
      <c r="K3" s="8" t="s">
        <v>56</v>
      </c>
      <c r="L3" s="8" t="s">
        <v>14</v>
      </c>
      <c r="M3" s="8" t="s">
        <v>17</v>
      </c>
      <c r="N3" s="8" t="s">
        <v>56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59</v>
      </c>
      <c r="F3" s="8" t="s">
        <v>58</v>
      </c>
      <c r="G3" s="10" t="s">
        <v>7</v>
      </c>
      <c r="H3" s="8" t="s">
        <v>59</v>
      </c>
      <c r="I3" s="8" t="s">
        <v>58</v>
      </c>
      <c r="J3" s="8" t="s">
        <v>16</v>
      </c>
      <c r="K3" s="8" t="s">
        <v>59</v>
      </c>
      <c r="L3" s="8" t="s">
        <v>58</v>
      </c>
      <c r="M3" s="8" t="s">
        <v>17</v>
      </c>
      <c r="N3" s="8" t="s">
        <v>59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15</v>
      </c>
      <c r="F3" s="8" t="s">
        <v>58</v>
      </c>
      <c r="G3" s="10" t="s">
        <v>7</v>
      </c>
      <c r="H3" s="8" t="s">
        <v>15</v>
      </c>
      <c r="I3" s="8" t="s">
        <v>58</v>
      </c>
      <c r="J3" s="8" t="s">
        <v>16</v>
      </c>
      <c r="K3" s="8" t="s">
        <v>15</v>
      </c>
      <c r="L3" s="8" t="s">
        <v>58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15</v>
      </c>
      <c r="F3" s="8" t="s">
        <v>58</v>
      </c>
      <c r="G3" s="10" t="s">
        <v>7</v>
      </c>
      <c r="H3" s="8" t="s">
        <v>15</v>
      </c>
      <c r="I3" s="8" t="s">
        <v>58</v>
      </c>
      <c r="J3" s="8" t="s">
        <v>16</v>
      </c>
      <c r="K3" s="8" t="s">
        <v>15</v>
      </c>
      <c r="L3" s="8" t="s">
        <v>58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53</v>
      </c>
      <c r="F3" s="8" t="s">
        <v>58</v>
      </c>
      <c r="G3" s="10" t="s">
        <v>7</v>
      </c>
      <c r="H3" s="8" t="s">
        <v>53</v>
      </c>
      <c r="I3" s="8" t="s">
        <v>58</v>
      </c>
      <c r="J3" s="8" t="s">
        <v>16</v>
      </c>
      <c r="K3" s="8" t="s">
        <v>53</v>
      </c>
      <c r="L3" s="8" t="s">
        <v>58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53</v>
      </c>
      <c r="F3" s="8" t="s">
        <v>58</v>
      </c>
      <c r="G3" s="10" t="s">
        <v>7</v>
      </c>
      <c r="H3" s="8" t="s">
        <v>53</v>
      </c>
      <c r="I3" s="8" t="s">
        <v>58</v>
      </c>
      <c r="J3" s="8" t="s">
        <v>16</v>
      </c>
      <c r="K3" s="8" t="s">
        <v>53</v>
      </c>
      <c r="L3" s="8" t="s">
        <v>58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66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53</v>
      </c>
      <c r="F3" s="8" t="s">
        <v>58</v>
      </c>
      <c r="G3" s="10" t="s">
        <v>7</v>
      </c>
      <c r="H3" s="8" t="s">
        <v>53</v>
      </c>
      <c r="I3" s="8" t="s">
        <v>58</v>
      </c>
      <c r="J3" s="8" t="s">
        <v>16</v>
      </c>
      <c r="K3" s="8" t="s">
        <v>53</v>
      </c>
      <c r="L3" s="8" t="s">
        <v>58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15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70</v>
      </c>
      <c r="L3" s="8" t="s">
        <v>58</v>
      </c>
      <c r="M3" s="8" t="s">
        <v>17</v>
      </c>
      <c r="N3" s="8" t="s">
        <v>70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69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69</v>
      </c>
      <c r="L3" s="8" t="s">
        <v>58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69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69</v>
      </c>
      <c r="L3" s="8" t="s">
        <v>58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69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69</v>
      </c>
      <c r="L3" s="8" t="s">
        <v>58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2727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2026-10-12T09:41:46Z</dcterms:modified>
  <cp:revision>449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